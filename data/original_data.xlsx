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original data" sheetId="1" r:id="rId1"/>
  </sheets>
  <definedNames>
    <definedName name="_xlnm._FilterDatabase" localSheetId="0" hidden="1">'original data'!$A$3:$AB$344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<sst xmlns="http://schemas.openxmlformats.org/spreadsheetml/2006/main" count="380" uniqueCount="70">
  <si>
    <t>Primary Category</t>
  </si>
  <si>
    <t>Digital Infrastructure</t>
  </si>
  <si>
    <t>Digital Industry Development</t>
  </si>
  <si>
    <t>Digital Economy Environment</t>
  </si>
  <si>
    <t>Secondary Category</t>
  </si>
  <si>
    <t>Hardware Facilities</t>
  </si>
  <si>
    <t>Software Facilities</t>
  </si>
  <si>
    <t>Digital Industrialization</t>
  </si>
  <si>
    <t>Industrial Digitalization</t>
  </si>
  <si>
    <t>Application Environment</t>
  </si>
  <si>
    <t>Talent Environment</t>
  </si>
  <si>
    <t xml:space="preserve">Innovation Environment </t>
  </si>
  <si>
    <t>year</t>
  </si>
  <si>
    <t>id</t>
  </si>
  <si>
    <t>province</t>
  </si>
  <si>
    <t>Long-Distance Optical Cable Length (km)</t>
  </si>
  <si>
    <t>Internet Broadband Access Ports (10,000 units)</t>
  </si>
  <si>
    <t>Mobile Phone Base Stations (10,000 units)</t>
  </si>
  <si>
    <t>Number of Internet Domain Names (10,000 units)</t>
  </si>
  <si>
    <t>Number of IPv4 Addresses (10,000 units)</t>
  </si>
  <si>
    <t>Number of Internet Websites (10,000 units)</t>
  </si>
  <si>
    <t>Software Business Revenue (100 million yuan)</t>
  </si>
  <si>
    <t>Telecommunications Business Revenue (100 million yuan)</t>
  </si>
  <si>
    <t>Number of Websites per 100 Enterprises (units)</t>
  </si>
  <si>
    <t>Percentage of Enterprises with E-commerce Activities (%)</t>
  </si>
  <si>
    <t>E-commerce Sales Revenue (100 million yuan)</t>
  </si>
  <si>
    <t>Number of Computers per 100 People (units)</t>
  </si>
  <si>
    <t>Mobile Internet Users (10,000 households)</t>
  </si>
  <si>
    <t>Mobile Phone Subscribers (Year-End, 10,000 households)</t>
  </si>
  <si>
    <t>Digital TV Subscribers (10,000 households)</t>
  </si>
  <si>
    <t>Digital Inclusive Finance Index</t>
  </si>
  <si>
    <t>Digital-Real Economy Integration Index</t>
  </si>
  <si>
    <t>Employment in Telecommunications, Software, and IT Services (10,000 persons, Non-private Sector)</t>
  </si>
  <si>
    <t>Total Employment in Non-private Sectors (10,000 persons)</t>
  </si>
  <si>
    <t>Percentage of IT-related Employment (%)</t>
  </si>
  <si>
    <t>Number of Bachelor's Degree Graduates (persons)</t>
  </si>
  <si>
    <t>Full-Time Equivalent (FTE) of R&amp;D Personnel (person-years)</t>
  </si>
  <si>
    <t>Number of R&amp;D Institutions (units)</t>
  </si>
  <si>
    <t>Region-Specific Patent Grants (units)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</si>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</sst>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</numFmts>
  <fonts count="26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-简"/>
      <charset val="134"/>
    </font>
    <font>
      <sz val="14"/>
      <name val="Times New Roman"/>
      <charset val="134"/>
    </font>
    <font>
      <sz val="9.75"/>
      <color theme="1"/>
      <name val="宋体"/>
      <charset val="134"/>
      <scheme val="minor"/>
    </font>
    <font>
      <sz val="14"/>
      <color rgb="FF000000"/>
      <name val="Times New Roman"/>
      <charset val="204"/>
    </font>
    <font>
      <sz val="14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8" applyNumberFormat="0" applyAlignment="0" applyProtection="0">
      <alignment vertical="center"/>
    </xf>
    <xf numFmtId="0" fontId="16" fillId="12" borderId="9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18" fillId="13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76" fontId="2" fillId="9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1" fontId="3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176" fontId="6" fillId="0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44"/>
  <sheetViews>
    <sheetView tabSelected="1" zoomScale="70" zoomScaleNormal="70" workbookViewId="0">
      <pane xSplit="3" topLeftCell="D1" activePane="topRight" state="frozen"/>
      <selection/>
      <selection pane="topRight" activeCell="Q9" sqref="Q9"/>
    </sheetView>
  </sheetViews>
  <sheetFormatPr defaultColWidth="9.23076923076923" defaultRowHeight="20.4"/>
  <cols>
    <col min="1" max="2" width="12.3269230769231" style="1" customWidth="1"/>
    <col min="3" max="3" width="16.1826923076923" style="1" customWidth="1"/>
    <col min="4" max="12" width="11.6153846153846" style="1"/>
    <col min="13" max="13" width="13.1346153846154" style="1" customWidth="1"/>
    <col min="14" max="18" width="11.6153846153846" style="1"/>
    <col min="19" max="19" width="12.9230769230769" style="1"/>
    <col min="20" max="20" width="14.6923076923077" style="1"/>
    <col min="21" max="23" width="12.9230769230769" style="1"/>
    <col min="24" max="24" width="17.9230769230769" style="1"/>
    <col min="25" max="25" width="11.6153846153846" style="1"/>
    <col min="26" max="26" width="12.9230769230769" style="1"/>
    <col min="27" max="27" width="10.1538461538462" style="1"/>
    <col min="28" max="28" width="9.23076923076923" style="1"/>
    <col min="29" max="29" width="25.1442307692308" style="1" customWidth="1"/>
    <col min="30" max="30" width="16.6923076923077" style="1" customWidth="1"/>
    <col min="31" max="31" width="17.3653846153846" style="1" customWidth="1"/>
    <col min="32" max="16384" width="9.23076923076923" style="1"/>
  </cols>
  <sheetData>
    <row r="1" s="1" customFormat="1" ht="41" spans="1:28">
      <c r="A1" s="2"/>
      <c r="B1" s="2"/>
      <c r="C1" s="3" t="s">
        <v>0</v>
      </c>
      <c r="D1" s="4" t="s">
        <v>1</v>
      </c>
      <c r="E1" s="5"/>
      <c r="F1" s="5"/>
      <c r="G1" s="5"/>
      <c r="H1" s="5"/>
      <c r="I1" s="5"/>
      <c r="J1" s="6" t="s">
        <v>2</v>
      </c>
      <c r="K1" s="7"/>
      <c r="L1" s="7"/>
      <c r="M1" s="7"/>
      <c r="N1" s="7"/>
      <c r="O1" s="7"/>
      <c r="P1" s="8" t="s">
        <v>3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</row>
    <row r="2" s="1" customFormat="1" ht="41" spans="1:28">
      <c r="A2" s="11"/>
      <c r="B2" s="11"/>
      <c r="C2" s="3" t="s">
        <v>4</v>
      </c>
      <c r="D2" s="8" t="s">
        <v>5</v>
      </c>
      <c r="E2" s="8"/>
      <c r="F2" s="8"/>
      <c r="G2" s="12" t="s">
        <v>6</v>
      </c>
      <c r="H2" s="13"/>
      <c r="I2" s="13"/>
      <c r="J2" s="14" t="s">
        <v>7</v>
      </c>
      <c r="K2" s="15"/>
      <c r="L2" s="16" t="s">
        <v>8</v>
      </c>
      <c r="M2" s="17"/>
      <c r="N2" s="18"/>
      <c r="O2" s="19" t="s">
        <v>9</v>
      </c>
      <c r="P2" s="20"/>
      <c r="Q2" s="20"/>
      <c r="R2" s="20"/>
      <c r="S2" s="20"/>
      <c r="T2" s="21"/>
      <c r="U2" s="22" t="s">
        <v>10</v>
      </c>
      <c r="V2" s="22"/>
      <c r="W2" s="22"/>
      <c r="X2" s="22"/>
      <c r="Y2" s="4" t="s">
        <v>11</v>
      </c>
      <c r="Z2" s="5"/>
      <c r="AA2" s="5"/>
      <c r="AB2" s="10"/>
    </row>
    <row r="3" s="1" customFormat="1" ht="172" customHeight="1" spans="1:28">
      <c r="A3" s="11" t="s">
        <v>12</v>
      </c>
      <c r="B3" s="11" t="s">
        <v>13</v>
      </c>
      <c r="C3" s="11" t="s">
        <v>14</v>
      </c>
      <c r="D3" s="23" t="s">
        <v>15</v>
      </c>
      <c r="E3" s="23" t="s">
        <v>16</v>
      </c>
      <c r="F3" s="23" t="s">
        <v>17</v>
      </c>
      <c r="G3" s="23" t="s">
        <v>18</v>
      </c>
      <c r="H3" s="23" t="s">
        <v>19</v>
      </c>
      <c r="I3" s="23" t="s">
        <v>20</v>
      </c>
      <c r="J3" s="23" t="s">
        <v>21</v>
      </c>
      <c r="K3" s="23" t="s">
        <v>22</v>
      </c>
      <c r="L3" s="23" t="s">
        <v>23</v>
      </c>
      <c r="M3" s="23" t="s">
        <v>24</v>
      </c>
      <c r="N3" s="23" t="s">
        <v>25</v>
      </c>
      <c r="O3" s="23" t="s">
        <v>26</v>
      </c>
      <c r="P3" s="23" t="s">
        <v>27</v>
      </c>
      <c r="Q3" s="23" t="s">
        <v>28</v>
      </c>
      <c r="R3" s="23" t="s">
        <v>29</v>
      </c>
      <c r="S3" s="23" t="s">
        <v>30</v>
      </c>
      <c r="T3" s="23" t="s">
        <v>31</v>
      </c>
      <c r="U3" s="23" t="s">
        <v>32</v>
      </c>
      <c r="V3" s="23" t="s">
        <v>33</v>
      </c>
      <c r="W3" s="23" t="s">
        <v>34</v>
      </c>
      <c r="X3" s="23" t="s">
        <v>35</v>
      </c>
      <c r="Y3" s="23" t="s">
        <v>36</v>
      </c>
      <c r="Z3" s="23" t="s">
        <v>37</v>
      </c>
      <c r="AA3" s="23" t="s">
        <v>38</v>
      </c>
      <c r="AB3" s="10"/>
    </row>
    <row r="4" ht="21" spans="1:28">
      <c r="A4" s="10">
        <v>2013</v>
      </c>
      <c r="B4" s="10">
        <v>340000</v>
      </c>
      <c r="C4" s="24" t="s">
        <v>39</v>
      </c>
      <c r="D4" s="10">
        <v>28367</v>
      </c>
      <c r="E4" s="10">
        <v>1124.6</v>
      </c>
      <c r="F4" s="10">
        <v>7.4096</v>
      </c>
      <c r="G4" s="10">
        <v>21.1612</v>
      </c>
      <c r="H4" s="10">
        <v>509.44</v>
      </c>
      <c r="I4" s="10">
        <v>3.7903</v>
      </c>
      <c r="J4" s="10">
        <v>99.5709</v>
      </c>
      <c r="K4" s="10">
        <v>476.44</v>
      </c>
      <c r="L4" s="10">
        <v>64.0197</v>
      </c>
      <c r="M4" s="10">
        <v>4.74944</v>
      </c>
      <c r="N4" s="10">
        <v>1355.07</v>
      </c>
      <c r="O4" s="10">
        <v>16.425</v>
      </c>
      <c r="P4" s="10"/>
      <c r="Q4" s="10">
        <v>3958.9</v>
      </c>
      <c r="R4" s="10">
        <v>348</v>
      </c>
      <c r="S4" s="25">
        <v>150.83</v>
      </c>
      <c r="T4" s="10">
        <v>6.432001</v>
      </c>
      <c r="U4" s="26">
        <v>6.2069</v>
      </c>
      <c r="V4" s="26">
        <v>519.67</v>
      </c>
      <c r="W4" s="27">
        <f t="shared" ref="W4:W67" si="0">(U4/V4)*100</f>
        <v>1.19439259530086</v>
      </c>
      <c r="X4" s="27">
        <v>121965</v>
      </c>
      <c r="Y4" s="10">
        <v>119342</v>
      </c>
      <c r="Z4" s="10">
        <v>2737</v>
      </c>
      <c r="AA4" s="10">
        <v>48849</v>
      </c>
      <c r="AB4" s="10"/>
    </row>
    <row r="5" ht="21" spans="1:28">
      <c r="A5" s="10">
        <v>2014</v>
      </c>
      <c r="B5" s="10">
        <v>340000</v>
      </c>
      <c r="C5" s="24" t="s">
        <v>39</v>
      </c>
      <c r="D5" s="10">
        <v>29536.8</v>
      </c>
      <c r="E5" s="10">
        <v>1175.7</v>
      </c>
      <c r="F5" s="10">
        <v>11.9</v>
      </c>
      <c r="G5" s="10">
        <v>35.6011</v>
      </c>
      <c r="H5" s="10">
        <v>557.74</v>
      </c>
      <c r="I5" s="10">
        <v>4.0029</v>
      </c>
      <c r="J5" s="10">
        <v>145.325</v>
      </c>
      <c r="K5" s="10">
        <v>549.18</v>
      </c>
      <c r="L5" s="10">
        <v>64.4189</v>
      </c>
      <c r="M5" s="10">
        <v>8.88958</v>
      </c>
      <c r="N5" s="10">
        <v>2108.41</v>
      </c>
      <c r="O5" s="10">
        <v>18.2731</v>
      </c>
      <c r="P5" s="10">
        <v>2668.56</v>
      </c>
      <c r="Q5" s="10">
        <v>4215.93</v>
      </c>
      <c r="R5" s="10">
        <v>386.339</v>
      </c>
      <c r="S5" s="25">
        <v>180.59</v>
      </c>
      <c r="T5" s="10">
        <v>7.457078</v>
      </c>
      <c r="U5" s="26">
        <v>7.3792</v>
      </c>
      <c r="V5" s="26">
        <v>521.739</v>
      </c>
      <c r="W5" s="27">
        <f t="shared" si="0"/>
        <v>1.41434702025342</v>
      </c>
      <c r="X5" s="27">
        <v>133251</v>
      </c>
      <c r="Y5" s="10">
        <v>129319</v>
      </c>
      <c r="Z5" s="10">
        <v>3326</v>
      </c>
      <c r="AA5" s="10">
        <v>48380</v>
      </c>
      <c r="AB5" s="10"/>
    </row>
    <row r="6" ht="21" spans="1:28">
      <c r="A6" s="10">
        <v>2015</v>
      </c>
      <c r="B6" s="10">
        <v>340000</v>
      </c>
      <c r="C6" s="24" t="s">
        <v>39</v>
      </c>
      <c r="D6" s="10">
        <v>30944</v>
      </c>
      <c r="E6" s="10">
        <v>2211.53</v>
      </c>
      <c r="F6" s="10">
        <v>16.5869</v>
      </c>
      <c r="G6" s="10">
        <v>48.9</v>
      </c>
      <c r="H6" s="10"/>
      <c r="I6" s="10">
        <v>5.6</v>
      </c>
      <c r="J6" s="10">
        <v>205.582</v>
      </c>
      <c r="K6" s="10">
        <v>707.27</v>
      </c>
      <c r="L6" s="10">
        <v>65</v>
      </c>
      <c r="M6" s="10">
        <v>12.3</v>
      </c>
      <c r="N6" s="10">
        <v>2444.28</v>
      </c>
      <c r="O6" s="10">
        <v>20.205</v>
      </c>
      <c r="P6" s="10">
        <v>3671.75</v>
      </c>
      <c r="Q6" s="10">
        <v>4188.32</v>
      </c>
      <c r="R6" s="10">
        <v>507.411</v>
      </c>
      <c r="S6" s="25">
        <v>211.28</v>
      </c>
      <c r="T6" s="10">
        <v>10.26483</v>
      </c>
      <c r="U6" s="26">
        <v>7.6545</v>
      </c>
      <c r="V6" s="26">
        <v>513.794</v>
      </c>
      <c r="W6" s="27">
        <f t="shared" si="0"/>
        <v>1.48979941377283</v>
      </c>
      <c r="X6" s="27">
        <v>141294</v>
      </c>
      <c r="Y6" s="10">
        <v>133558</v>
      </c>
      <c r="Z6" s="10">
        <v>3986</v>
      </c>
      <c r="AA6" s="10">
        <v>59039</v>
      </c>
      <c r="AB6" s="10"/>
    </row>
    <row r="7" ht="21" spans="1:28">
      <c r="A7" s="10">
        <v>2016</v>
      </c>
      <c r="B7" s="10">
        <v>340000</v>
      </c>
      <c r="C7" s="24" t="s">
        <v>39</v>
      </c>
      <c r="D7" s="10">
        <v>32221.5</v>
      </c>
      <c r="E7" s="10">
        <v>2527.33</v>
      </c>
      <c r="F7" s="10">
        <v>19.7646</v>
      </c>
      <c r="G7" s="10">
        <v>74.5403</v>
      </c>
      <c r="H7" s="10"/>
      <c r="I7" s="10">
        <v>6.8201</v>
      </c>
      <c r="J7" s="10">
        <v>260.031</v>
      </c>
      <c r="K7" s="10">
        <v>489.54</v>
      </c>
      <c r="L7" s="10">
        <v>66.9</v>
      </c>
      <c r="M7" s="10">
        <v>12.7</v>
      </c>
      <c r="N7" s="10">
        <v>2894.69</v>
      </c>
      <c r="O7" s="10">
        <v>20.351</v>
      </c>
      <c r="P7" s="10">
        <v>4179.9</v>
      </c>
      <c r="Q7" s="10">
        <v>4342.98</v>
      </c>
      <c r="R7" s="10">
        <v>585.21</v>
      </c>
      <c r="S7" s="25">
        <v>228.78</v>
      </c>
      <c r="T7" s="10">
        <v>22.23336</v>
      </c>
      <c r="U7" s="26">
        <v>8.0122</v>
      </c>
      <c r="V7" s="26">
        <v>517.053</v>
      </c>
      <c r="W7" s="27">
        <f t="shared" si="0"/>
        <v>1.54958969389985</v>
      </c>
      <c r="X7" s="27">
        <v>147112</v>
      </c>
      <c r="Y7" s="10">
        <v>135829</v>
      </c>
      <c r="Z7" s="10">
        <v>4536</v>
      </c>
      <c r="AA7" s="10">
        <v>60983</v>
      </c>
      <c r="AB7" s="10"/>
    </row>
    <row r="8" ht="21" spans="1:28">
      <c r="A8" s="10">
        <v>2017</v>
      </c>
      <c r="B8" s="10">
        <v>340000</v>
      </c>
      <c r="C8" s="24" t="s">
        <v>39</v>
      </c>
      <c r="D8" s="10">
        <v>38899.4</v>
      </c>
      <c r="E8" s="10">
        <v>2872.24</v>
      </c>
      <c r="F8" s="10">
        <v>21.608</v>
      </c>
      <c r="G8" s="10">
        <v>72.1542</v>
      </c>
      <c r="H8" s="10">
        <v>558.863</v>
      </c>
      <c r="I8" s="10">
        <v>8.0503</v>
      </c>
      <c r="J8" s="10">
        <v>341.124</v>
      </c>
      <c r="K8" s="10">
        <v>831.805</v>
      </c>
      <c r="L8" s="10">
        <v>67</v>
      </c>
      <c r="M8" s="10">
        <v>11.5</v>
      </c>
      <c r="N8" s="10">
        <v>3299.53</v>
      </c>
      <c r="O8" s="10">
        <v>21.7351</v>
      </c>
      <c r="P8" s="10">
        <v>4639.68</v>
      </c>
      <c r="Q8" s="10">
        <v>4884.29</v>
      </c>
      <c r="R8" s="10">
        <v>550.85</v>
      </c>
      <c r="S8" s="25">
        <v>271.6</v>
      </c>
      <c r="T8" s="10">
        <v>42.10449</v>
      </c>
      <c r="U8" s="26">
        <v>8.1924</v>
      </c>
      <c r="V8" s="26">
        <v>516.21</v>
      </c>
      <c r="W8" s="27">
        <f t="shared" si="0"/>
        <v>1.58702853489859</v>
      </c>
      <c r="X8" s="27">
        <v>152059</v>
      </c>
      <c r="Y8" s="10">
        <v>140452</v>
      </c>
      <c r="Z8" s="10">
        <v>5110</v>
      </c>
      <c r="AA8" s="10">
        <v>58213</v>
      </c>
      <c r="AB8" s="10"/>
    </row>
    <row r="9" ht="21" spans="1:28">
      <c r="A9" s="10">
        <v>2018</v>
      </c>
      <c r="B9" s="10">
        <v>340000</v>
      </c>
      <c r="C9" s="24" t="s">
        <v>39</v>
      </c>
      <c r="D9" s="10">
        <v>35275.3</v>
      </c>
      <c r="E9" s="10">
        <v>3373.97</v>
      </c>
      <c r="F9" s="10">
        <v>22.7435</v>
      </c>
      <c r="G9" s="10">
        <v>90.4734</v>
      </c>
      <c r="H9" s="10">
        <v>559.226</v>
      </c>
      <c r="I9" s="10">
        <v>8.6831</v>
      </c>
      <c r="J9" s="10">
        <v>456.051</v>
      </c>
      <c r="K9" s="10">
        <v>2260.95</v>
      </c>
      <c r="L9" s="10">
        <v>62</v>
      </c>
      <c r="M9" s="10">
        <v>11.8138</v>
      </c>
      <c r="N9" s="10">
        <v>4864.41</v>
      </c>
      <c r="O9" s="10">
        <v>22.8973</v>
      </c>
      <c r="P9" s="10">
        <v>4596.33</v>
      </c>
      <c r="Q9" s="10">
        <v>5535.78</v>
      </c>
      <c r="R9" s="10">
        <v>589.68</v>
      </c>
      <c r="S9" s="25">
        <v>303.83</v>
      </c>
      <c r="T9" s="10">
        <v>52.78659</v>
      </c>
      <c r="U9" s="26">
        <v>9.3312</v>
      </c>
      <c r="V9" s="26">
        <v>592.33</v>
      </c>
      <c r="W9" s="27">
        <f t="shared" si="0"/>
        <v>1.57533807168301</v>
      </c>
      <c r="X9" s="27">
        <v>154074</v>
      </c>
      <c r="Y9" s="10">
        <v>147149</v>
      </c>
      <c r="Z9" s="10">
        <v>5302</v>
      </c>
      <c r="AA9" s="10">
        <v>79747</v>
      </c>
      <c r="AB9" s="10"/>
    </row>
    <row r="10" ht="21" spans="1:28">
      <c r="A10" s="10">
        <v>2019</v>
      </c>
      <c r="B10" s="10">
        <v>340000</v>
      </c>
      <c r="C10" s="24" t="s">
        <v>39</v>
      </c>
      <c r="D10" s="10">
        <v>35329.7</v>
      </c>
      <c r="E10" s="10">
        <v>3481.29</v>
      </c>
      <c r="F10" s="10">
        <v>28.4055</v>
      </c>
      <c r="G10" s="10">
        <v>151.362</v>
      </c>
      <c r="H10" s="10">
        <v>559.503</v>
      </c>
      <c r="I10" s="10">
        <v>9.59155</v>
      </c>
      <c r="J10" s="10">
        <v>669.767</v>
      </c>
      <c r="K10" s="10">
        <v>4006.72</v>
      </c>
      <c r="L10" s="10">
        <v>60.1</v>
      </c>
      <c r="M10" s="10">
        <v>14.4</v>
      </c>
      <c r="N10" s="10">
        <v>5569.61</v>
      </c>
      <c r="O10" s="10">
        <v>24.941</v>
      </c>
      <c r="P10" s="10">
        <v>4790.84</v>
      </c>
      <c r="Q10" s="10">
        <v>5844.21</v>
      </c>
      <c r="R10" s="10">
        <v>587.71</v>
      </c>
      <c r="S10" s="25">
        <v>330.29</v>
      </c>
      <c r="T10" s="10">
        <v>47.26174</v>
      </c>
      <c r="U10" s="26">
        <v>9.2564</v>
      </c>
      <c r="V10" s="26">
        <v>581.048</v>
      </c>
      <c r="W10" s="27">
        <f t="shared" si="0"/>
        <v>1.59305255331745</v>
      </c>
      <c r="X10" s="27">
        <v>157643</v>
      </c>
      <c r="Y10" s="10">
        <v>175318</v>
      </c>
      <c r="Z10" s="10">
        <v>5874</v>
      </c>
      <c r="AA10" s="10">
        <v>82524</v>
      </c>
      <c r="AB10" s="10"/>
    </row>
    <row r="11" ht="21" spans="1:28">
      <c r="A11" s="10">
        <v>2020</v>
      </c>
      <c r="B11" s="10">
        <v>340000</v>
      </c>
      <c r="C11" s="24" t="s">
        <v>39</v>
      </c>
      <c r="D11" s="10">
        <v>35551</v>
      </c>
      <c r="E11" s="10">
        <v>3543.7</v>
      </c>
      <c r="F11" s="10">
        <v>31</v>
      </c>
      <c r="G11" s="10">
        <v>154.8</v>
      </c>
      <c r="H11" s="10">
        <v>562.1</v>
      </c>
      <c r="I11" s="10">
        <v>10.5</v>
      </c>
      <c r="J11" s="10">
        <v>784.48</v>
      </c>
      <c r="K11" s="10">
        <v>5053.59</v>
      </c>
      <c r="L11" s="10">
        <v>57</v>
      </c>
      <c r="M11" s="10">
        <v>13.3</v>
      </c>
      <c r="N11" s="10">
        <v>6281.1</v>
      </c>
      <c r="O11" s="10">
        <v>27</v>
      </c>
      <c r="P11" s="10">
        <v>5010.5</v>
      </c>
      <c r="Q11" s="10">
        <v>6025.6</v>
      </c>
      <c r="R11" s="10">
        <v>618.03</v>
      </c>
      <c r="S11" s="25">
        <v>350.16</v>
      </c>
      <c r="T11" s="10">
        <v>75.64332</v>
      </c>
      <c r="U11" s="26">
        <v>9.6838</v>
      </c>
      <c r="V11" s="26">
        <v>565.621</v>
      </c>
      <c r="W11" s="27">
        <f t="shared" si="0"/>
        <v>1.71206514609606</v>
      </c>
      <c r="X11" s="27">
        <v>166654</v>
      </c>
      <c r="Y11" s="10">
        <v>194688</v>
      </c>
      <c r="Z11" s="10">
        <v>6767</v>
      </c>
      <c r="AA11" s="10">
        <v>119696</v>
      </c>
      <c r="AB11" s="10"/>
    </row>
    <row r="12" ht="21" spans="1:28">
      <c r="A12" s="10">
        <v>2021</v>
      </c>
      <c r="B12" s="10">
        <v>340000</v>
      </c>
      <c r="C12" s="24" t="s">
        <v>39</v>
      </c>
      <c r="D12" s="10">
        <v>39244.8</v>
      </c>
      <c r="E12" s="10">
        <v>3889</v>
      </c>
      <c r="F12" s="10">
        <v>33.2544</v>
      </c>
      <c r="G12" s="10">
        <v>133.434</v>
      </c>
      <c r="H12" s="10">
        <v>559.178</v>
      </c>
      <c r="I12" s="10">
        <v>11.6786</v>
      </c>
      <c r="J12" s="10">
        <v>872.534</v>
      </c>
      <c r="K12" s="10">
        <v>602.42</v>
      </c>
      <c r="L12" s="10">
        <v>55.1</v>
      </c>
      <c r="M12" s="10">
        <v>12.5</v>
      </c>
      <c r="N12" s="10">
        <v>7461.89</v>
      </c>
      <c r="O12" s="10">
        <v>27.5246</v>
      </c>
      <c r="P12" s="10">
        <v>5276.7</v>
      </c>
      <c r="Q12" s="10">
        <v>6192.62</v>
      </c>
      <c r="R12" s="10">
        <v>614.77</v>
      </c>
      <c r="S12" s="25">
        <v>370.37</v>
      </c>
      <c r="T12" s="10">
        <v>78.08008</v>
      </c>
      <c r="U12" s="26">
        <v>10.0282</v>
      </c>
      <c r="V12" s="26">
        <v>563.174</v>
      </c>
      <c r="W12" s="27">
        <f t="shared" si="0"/>
        <v>1.78065748773914</v>
      </c>
      <c r="X12" s="27">
        <v>167216</v>
      </c>
      <c r="Y12" s="10">
        <v>235292</v>
      </c>
      <c r="Z12" s="10">
        <v>7114</v>
      </c>
      <c r="AA12" s="10">
        <v>153475</v>
      </c>
      <c r="AB12" s="10"/>
    </row>
    <row r="13" ht="21" spans="1:28">
      <c r="A13" s="10">
        <v>2022</v>
      </c>
      <c r="B13" s="10">
        <v>340000</v>
      </c>
      <c r="C13" s="24" t="s">
        <v>39</v>
      </c>
      <c r="D13" s="10">
        <v>39371.3</v>
      </c>
      <c r="E13" s="10">
        <v>4242.18</v>
      </c>
      <c r="F13" s="10">
        <v>37.5921</v>
      </c>
      <c r="G13" s="10">
        <v>98.393</v>
      </c>
      <c r="H13" s="10">
        <v>566.326</v>
      </c>
      <c r="I13" s="10">
        <v>10.9459</v>
      </c>
      <c r="J13" s="10">
        <v>942.375</v>
      </c>
      <c r="K13" s="10">
        <v>610.189</v>
      </c>
      <c r="L13" s="10">
        <v>45.2</v>
      </c>
      <c r="M13" s="10">
        <v>11.2489</v>
      </c>
      <c r="N13" s="10">
        <v>8780.39</v>
      </c>
      <c r="O13" s="10">
        <v>29.2242</v>
      </c>
      <c r="P13" s="10">
        <v>5444.24</v>
      </c>
      <c r="Q13" s="10">
        <v>6379.39</v>
      </c>
      <c r="R13" s="10">
        <v>615.729</v>
      </c>
      <c r="S13" s="25">
        <v>391.34</v>
      </c>
      <c r="T13" s="10">
        <v>81.76702</v>
      </c>
      <c r="U13" s="26">
        <v>11.6904</v>
      </c>
      <c r="V13" s="26">
        <v>576.844</v>
      </c>
      <c r="W13" s="27">
        <f t="shared" si="0"/>
        <v>2.02661378119561</v>
      </c>
      <c r="X13" s="27">
        <v>190427</v>
      </c>
      <c r="Y13" s="10">
        <v>252476</v>
      </c>
      <c r="Z13" s="10">
        <v>8383</v>
      </c>
      <c r="AA13" s="10">
        <v>156584</v>
      </c>
      <c r="AB13" s="10"/>
    </row>
    <row r="14" ht="21" spans="1:28">
      <c r="A14" s="10">
        <v>2023</v>
      </c>
      <c r="B14" s="10">
        <v>340000</v>
      </c>
      <c r="C14" s="24" t="s">
        <v>39</v>
      </c>
      <c r="D14" s="10">
        <v>41502</v>
      </c>
      <c r="E14" s="10">
        <v>4696.1</v>
      </c>
      <c r="F14" s="10">
        <v>40.5</v>
      </c>
      <c r="G14" s="10">
        <v>73.8</v>
      </c>
      <c r="H14" s="10">
        <v>559.3</v>
      </c>
      <c r="I14" s="10">
        <v>10.9438</v>
      </c>
      <c r="J14" s="10">
        <v>1094.74</v>
      </c>
      <c r="K14" s="10">
        <v>640.56</v>
      </c>
      <c r="L14" s="10">
        <v>44.314</v>
      </c>
      <c r="M14" s="10">
        <v>13.7691</v>
      </c>
      <c r="N14" s="10">
        <v>10202.2</v>
      </c>
      <c r="O14" s="10">
        <v>30.1637</v>
      </c>
      <c r="P14" s="10">
        <v>5763.1</v>
      </c>
      <c r="Q14" s="10">
        <v>6617.9</v>
      </c>
      <c r="R14" s="10"/>
      <c r="S14" s="25">
        <v>412.73</v>
      </c>
      <c r="T14" s="10">
        <v>90.73044</v>
      </c>
      <c r="U14" s="26">
        <v>13.6133</v>
      </c>
      <c r="V14" s="26">
        <v>591.342</v>
      </c>
      <c r="W14" s="27">
        <f t="shared" si="0"/>
        <v>2.30210267493261</v>
      </c>
      <c r="X14" s="27">
        <v>195681</v>
      </c>
      <c r="Y14" s="10">
        <v>276642</v>
      </c>
      <c r="Z14" s="10">
        <v>8750</v>
      </c>
      <c r="AA14" s="10">
        <v>142638</v>
      </c>
      <c r="AB14" s="10"/>
    </row>
    <row r="15" ht="21" spans="1:28">
      <c r="A15" s="10">
        <v>2013</v>
      </c>
      <c r="B15" s="10">
        <v>110000</v>
      </c>
      <c r="C15" s="24" t="s">
        <v>40</v>
      </c>
      <c r="D15" s="10">
        <v>4122</v>
      </c>
      <c r="E15" s="10">
        <v>1186.8</v>
      </c>
      <c r="F15" s="10">
        <v>6.1776</v>
      </c>
      <c r="G15" s="10">
        <v>185.733</v>
      </c>
      <c r="H15" s="10"/>
      <c r="I15" s="10">
        <v>43.9432</v>
      </c>
      <c r="J15" s="10">
        <v>4210.63</v>
      </c>
      <c r="K15" s="10">
        <v>594.001</v>
      </c>
      <c r="L15" s="10">
        <v>59.46</v>
      </c>
      <c r="M15" s="10">
        <v>7.46256</v>
      </c>
      <c r="N15" s="10">
        <v>7467.64</v>
      </c>
      <c r="O15" s="10">
        <v>57.102</v>
      </c>
      <c r="P15" s="10"/>
      <c r="Q15" s="10">
        <v>3373.8</v>
      </c>
      <c r="R15" s="10">
        <v>513.6</v>
      </c>
      <c r="S15" s="25">
        <v>215.62</v>
      </c>
      <c r="T15" s="10">
        <v>34.49556</v>
      </c>
      <c r="U15" s="26">
        <v>58.2393</v>
      </c>
      <c r="V15" s="26">
        <v>742.256</v>
      </c>
      <c r="W15" s="27">
        <f t="shared" si="0"/>
        <v>7.84625520036214</v>
      </c>
      <c r="X15" s="27">
        <v>114149</v>
      </c>
      <c r="Y15" s="10">
        <v>242175</v>
      </c>
      <c r="Z15" s="10">
        <v>632</v>
      </c>
      <c r="AA15" s="10">
        <v>62671</v>
      </c>
      <c r="AB15" s="10"/>
    </row>
    <row r="16" ht="21" spans="1:28">
      <c r="A16" s="10">
        <v>2014</v>
      </c>
      <c r="B16" s="10">
        <v>110000</v>
      </c>
      <c r="C16" s="24" t="s">
        <v>40</v>
      </c>
      <c r="D16" s="10">
        <v>3976.74</v>
      </c>
      <c r="E16" s="10">
        <v>1159.86</v>
      </c>
      <c r="F16" s="10">
        <v>9.9</v>
      </c>
      <c r="G16" s="10">
        <v>265.489</v>
      </c>
      <c r="H16" s="10">
        <v>8525.46</v>
      </c>
      <c r="I16" s="10">
        <v>45.7032</v>
      </c>
      <c r="J16" s="10">
        <v>4796.58</v>
      </c>
      <c r="K16" s="10">
        <v>686.67</v>
      </c>
      <c r="L16" s="10">
        <v>59.5114</v>
      </c>
      <c r="M16" s="10">
        <v>12.579</v>
      </c>
      <c r="N16" s="10">
        <v>9012.41</v>
      </c>
      <c r="O16" s="10">
        <v>61.0489</v>
      </c>
      <c r="P16" s="10">
        <v>2785.37</v>
      </c>
      <c r="Q16" s="10">
        <v>4076.42</v>
      </c>
      <c r="R16" s="10">
        <v>469.149</v>
      </c>
      <c r="S16" s="25">
        <v>235.36</v>
      </c>
      <c r="T16" s="10">
        <v>38.78936</v>
      </c>
      <c r="U16" s="26">
        <v>61.1106</v>
      </c>
      <c r="V16" s="26">
        <v>755.86</v>
      </c>
      <c r="W16" s="27">
        <f t="shared" si="0"/>
        <v>8.08490990395047</v>
      </c>
      <c r="X16" s="27">
        <v>115102</v>
      </c>
      <c r="Y16" s="10">
        <v>245384</v>
      </c>
      <c r="Z16" s="10">
        <v>805</v>
      </c>
      <c r="AA16" s="10">
        <v>74661</v>
      </c>
      <c r="AB16" s="10"/>
    </row>
    <row r="17" ht="21" spans="1:28">
      <c r="A17" s="10">
        <v>2015</v>
      </c>
      <c r="B17" s="10">
        <v>110000</v>
      </c>
      <c r="C17" s="24" t="s">
        <v>40</v>
      </c>
      <c r="D17" s="10">
        <v>4088</v>
      </c>
      <c r="E17" s="10">
        <v>1580.53</v>
      </c>
      <c r="F17" s="10">
        <v>12.3505</v>
      </c>
      <c r="G17" s="10">
        <v>485.7</v>
      </c>
      <c r="H17" s="10"/>
      <c r="I17" s="10">
        <v>51.5</v>
      </c>
      <c r="J17" s="10">
        <v>5422.87</v>
      </c>
      <c r="K17" s="10">
        <v>923.36</v>
      </c>
      <c r="L17" s="10">
        <v>63</v>
      </c>
      <c r="M17" s="10">
        <v>17.1</v>
      </c>
      <c r="N17" s="10">
        <v>10530.5</v>
      </c>
      <c r="O17" s="10">
        <v>62.1235</v>
      </c>
      <c r="P17" s="10">
        <v>3251.7</v>
      </c>
      <c r="Q17" s="10">
        <v>3944.44</v>
      </c>
      <c r="R17" s="10">
        <v>506.679</v>
      </c>
      <c r="S17" s="25">
        <v>276.38</v>
      </c>
      <c r="T17" s="10">
        <v>48.32561</v>
      </c>
      <c r="U17" s="26">
        <v>68.007</v>
      </c>
      <c r="V17" s="26">
        <v>777.345</v>
      </c>
      <c r="W17" s="27">
        <f t="shared" si="0"/>
        <v>8.74862512783899</v>
      </c>
      <c r="X17" s="27">
        <v>117651</v>
      </c>
      <c r="Y17" s="10">
        <v>245728</v>
      </c>
      <c r="Z17" s="10">
        <v>809</v>
      </c>
      <c r="AA17" s="10">
        <v>94031</v>
      </c>
      <c r="AB17" s="10"/>
    </row>
    <row r="18" ht="21" spans="1:28">
      <c r="A18" s="10">
        <v>2016</v>
      </c>
      <c r="B18" s="10">
        <v>110000</v>
      </c>
      <c r="C18" s="24" t="s">
        <v>40</v>
      </c>
      <c r="D18" s="10">
        <v>4465</v>
      </c>
      <c r="E18" s="10">
        <v>1784.04</v>
      </c>
      <c r="F18" s="10">
        <v>14.5564</v>
      </c>
      <c r="G18" s="10">
        <v>645.738</v>
      </c>
      <c r="H18" s="10"/>
      <c r="I18" s="10">
        <v>60.9298</v>
      </c>
      <c r="J18" s="10">
        <v>6416.02</v>
      </c>
      <c r="K18" s="10">
        <v>593.08</v>
      </c>
      <c r="L18" s="10">
        <v>64.4</v>
      </c>
      <c r="M18" s="10">
        <v>18</v>
      </c>
      <c r="N18" s="10">
        <v>12026.7</v>
      </c>
      <c r="O18" s="10">
        <v>65.5976</v>
      </c>
      <c r="P18" s="10">
        <v>3594.04</v>
      </c>
      <c r="Q18" s="10">
        <v>3869</v>
      </c>
      <c r="R18" s="10">
        <v>529.15</v>
      </c>
      <c r="S18" s="25">
        <v>286.37</v>
      </c>
      <c r="T18" s="10">
        <v>75.56751</v>
      </c>
      <c r="U18" s="26">
        <v>69.2226</v>
      </c>
      <c r="V18" s="26">
        <v>791.52</v>
      </c>
      <c r="W18" s="27">
        <f t="shared" si="0"/>
        <v>8.74552759248029</v>
      </c>
      <c r="X18" s="27">
        <v>120007</v>
      </c>
      <c r="Y18" s="10">
        <v>253337</v>
      </c>
      <c r="Z18" s="10">
        <v>749</v>
      </c>
      <c r="AA18" s="10">
        <v>100578</v>
      </c>
      <c r="AB18" s="10"/>
    </row>
    <row r="19" ht="21" spans="1:28">
      <c r="A19" s="10">
        <v>2017</v>
      </c>
      <c r="B19" s="10">
        <v>110000</v>
      </c>
      <c r="C19" s="24" t="s">
        <v>40</v>
      </c>
      <c r="D19" s="10">
        <v>4583</v>
      </c>
      <c r="E19" s="10">
        <v>1818.04</v>
      </c>
      <c r="F19" s="10">
        <v>15.8005</v>
      </c>
      <c r="G19" s="10">
        <v>537.457</v>
      </c>
      <c r="H19" s="10">
        <v>8633.58</v>
      </c>
      <c r="I19" s="10">
        <v>70.5622</v>
      </c>
      <c r="J19" s="10">
        <v>7836.65</v>
      </c>
      <c r="K19" s="10">
        <v>870.582</v>
      </c>
      <c r="L19" s="10">
        <v>65</v>
      </c>
      <c r="M19" s="10">
        <v>19</v>
      </c>
      <c r="N19" s="10">
        <v>18385.7</v>
      </c>
      <c r="O19" s="10">
        <v>67.4493</v>
      </c>
      <c r="P19" s="10">
        <v>4639.72</v>
      </c>
      <c r="Q19" s="10">
        <v>3752.07</v>
      </c>
      <c r="R19" s="10">
        <v>546.85</v>
      </c>
      <c r="S19" s="25">
        <v>329.94</v>
      </c>
      <c r="T19" s="10">
        <v>96.94925</v>
      </c>
      <c r="U19" s="26">
        <v>77.44</v>
      </c>
      <c r="V19" s="26">
        <v>812.859</v>
      </c>
      <c r="W19" s="27">
        <f t="shared" si="0"/>
        <v>9.52686751330797</v>
      </c>
      <c r="X19" s="27">
        <v>121362</v>
      </c>
      <c r="Y19" s="10">
        <v>269835</v>
      </c>
      <c r="Z19" s="10">
        <v>657</v>
      </c>
      <c r="AA19" s="10">
        <v>106948</v>
      </c>
      <c r="AB19" s="10"/>
    </row>
    <row r="20" ht="21" spans="1:28">
      <c r="A20" s="10">
        <v>2018</v>
      </c>
      <c r="B20" s="10">
        <v>110000</v>
      </c>
      <c r="C20" s="24" t="s">
        <v>40</v>
      </c>
      <c r="D20" s="10">
        <v>4217.03</v>
      </c>
      <c r="E20" s="10">
        <v>2059.86</v>
      </c>
      <c r="F20" s="10">
        <v>16.6177</v>
      </c>
      <c r="G20" s="10">
        <v>443.471</v>
      </c>
      <c r="H20" s="10">
        <v>8639.19</v>
      </c>
      <c r="I20" s="10">
        <v>71.9152</v>
      </c>
      <c r="J20" s="10">
        <v>9728.92</v>
      </c>
      <c r="K20" s="10">
        <v>1755.46</v>
      </c>
      <c r="L20" s="10">
        <v>64</v>
      </c>
      <c r="M20" s="10">
        <v>20.7268</v>
      </c>
      <c r="N20" s="10">
        <v>18261.2</v>
      </c>
      <c r="O20" s="10">
        <v>69.9391</v>
      </c>
      <c r="P20" s="10">
        <v>3291.13</v>
      </c>
      <c r="Q20" s="10">
        <v>4009.22</v>
      </c>
      <c r="R20" s="10">
        <v>571.46</v>
      </c>
      <c r="S20" s="25">
        <v>368.54</v>
      </c>
      <c r="T20" s="10">
        <v>110.4648</v>
      </c>
      <c r="U20" s="26">
        <v>84.03</v>
      </c>
      <c r="V20" s="26">
        <v>819.302</v>
      </c>
      <c r="W20" s="27">
        <f t="shared" si="0"/>
        <v>10.2562913309134</v>
      </c>
      <c r="X20" s="27">
        <v>120258</v>
      </c>
      <c r="Y20" s="10">
        <v>267338</v>
      </c>
      <c r="Z20" s="10">
        <v>572</v>
      </c>
      <c r="AA20" s="10">
        <v>123496</v>
      </c>
      <c r="AB20" s="10"/>
    </row>
    <row r="21" ht="21" spans="1:28">
      <c r="A21" s="10">
        <v>2019</v>
      </c>
      <c r="B21" s="10">
        <v>110000</v>
      </c>
      <c r="C21" s="24" t="s">
        <v>40</v>
      </c>
      <c r="D21" s="10">
        <v>4329.28</v>
      </c>
      <c r="E21" s="10">
        <v>2060.1</v>
      </c>
      <c r="F21" s="10">
        <v>21.8333</v>
      </c>
      <c r="G21" s="10">
        <v>504.988</v>
      </c>
      <c r="H21" s="10">
        <v>8643.48</v>
      </c>
      <c r="I21" s="10">
        <v>55.3218</v>
      </c>
      <c r="J21" s="10">
        <v>11983.1</v>
      </c>
      <c r="K21" s="10">
        <v>2681.99</v>
      </c>
      <c r="L21" s="10">
        <v>57.8</v>
      </c>
      <c r="M21" s="10">
        <v>22.2</v>
      </c>
      <c r="N21" s="10">
        <v>23235.9</v>
      </c>
      <c r="O21" s="10">
        <v>71.6439</v>
      </c>
      <c r="P21" s="10">
        <v>3289.2</v>
      </c>
      <c r="Q21" s="10">
        <v>4019.83</v>
      </c>
      <c r="R21" s="10">
        <v>593.46</v>
      </c>
      <c r="S21" s="25">
        <v>399</v>
      </c>
      <c r="T21" s="10">
        <v>144.4332</v>
      </c>
      <c r="U21" s="26">
        <v>85.9131</v>
      </c>
      <c r="V21" s="26">
        <v>791.298</v>
      </c>
      <c r="W21" s="27">
        <f t="shared" si="0"/>
        <v>10.8572370965174</v>
      </c>
      <c r="X21" s="27">
        <v>121066</v>
      </c>
      <c r="Y21" s="10">
        <v>313986</v>
      </c>
      <c r="Z21" s="10">
        <v>508</v>
      </c>
      <c r="AA21" s="10">
        <v>131716</v>
      </c>
      <c r="AB21" s="10"/>
    </row>
    <row r="22" ht="21" spans="1:28">
      <c r="A22" s="10">
        <v>2020</v>
      </c>
      <c r="B22" s="10">
        <v>110000</v>
      </c>
      <c r="C22" s="24" t="s">
        <v>40</v>
      </c>
      <c r="D22" s="10">
        <v>4160</v>
      </c>
      <c r="E22" s="10">
        <v>2084.1</v>
      </c>
      <c r="F22" s="10">
        <v>24.6</v>
      </c>
      <c r="G22" s="10">
        <v>373.2</v>
      </c>
      <c r="H22" s="10">
        <v>8683.6</v>
      </c>
      <c r="I22" s="10">
        <v>38.7284</v>
      </c>
      <c r="J22" s="10">
        <v>15737.3</v>
      </c>
      <c r="K22" s="10">
        <v>3247.63</v>
      </c>
      <c r="L22" s="10">
        <v>58</v>
      </c>
      <c r="M22" s="10">
        <v>22.8</v>
      </c>
      <c r="N22" s="10">
        <v>25831.8</v>
      </c>
      <c r="O22" s="10">
        <v>77</v>
      </c>
      <c r="P22" s="10">
        <v>3272.9</v>
      </c>
      <c r="Q22" s="10">
        <v>3906.4</v>
      </c>
      <c r="R22" s="10">
        <v>605.08</v>
      </c>
      <c r="S22" s="25">
        <v>417.88</v>
      </c>
      <c r="T22" s="10">
        <v>189.3656</v>
      </c>
      <c r="U22" s="26">
        <v>92.2868</v>
      </c>
      <c r="V22" s="26">
        <v>739.94</v>
      </c>
      <c r="W22" s="27">
        <f t="shared" si="0"/>
        <v>12.472200448685</v>
      </c>
      <c r="X22" s="27">
        <v>124729</v>
      </c>
      <c r="Y22" s="10">
        <v>336280</v>
      </c>
      <c r="Z22" s="10">
        <v>538</v>
      </c>
      <c r="AA22" s="10">
        <v>162824</v>
      </c>
      <c r="AB22" s="10"/>
    </row>
    <row r="23" ht="21" spans="1:28">
      <c r="A23" s="10">
        <v>2021</v>
      </c>
      <c r="B23" s="10">
        <v>110000</v>
      </c>
      <c r="C23" s="24" t="s">
        <v>40</v>
      </c>
      <c r="D23" s="10">
        <v>4096.69</v>
      </c>
      <c r="E23" s="10">
        <v>2030.76</v>
      </c>
      <c r="F23" s="10">
        <v>27.0309</v>
      </c>
      <c r="G23" s="10">
        <v>566.007</v>
      </c>
      <c r="H23" s="10">
        <v>8642.24</v>
      </c>
      <c r="I23" s="10">
        <v>41.945</v>
      </c>
      <c r="J23" s="10">
        <v>20382.1</v>
      </c>
      <c r="K23" s="10">
        <v>512.96</v>
      </c>
      <c r="L23" s="10">
        <v>56.7</v>
      </c>
      <c r="M23" s="10">
        <v>23.5</v>
      </c>
      <c r="N23" s="10">
        <v>31239.8</v>
      </c>
      <c r="O23" s="10">
        <v>79.5346</v>
      </c>
      <c r="P23" s="10">
        <v>3379.41</v>
      </c>
      <c r="Q23" s="10">
        <v>3972.04</v>
      </c>
      <c r="R23" s="10">
        <v>614.39</v>
      </c>
      <c r="S23" s="25">
        <v>437.58</v>
      </c>
      <c r="T23" s="10">
        <v>208.4586</v>
      </c>
      <c r="U23" s="26">
        <v>101.165</v>
      </c>
      <c r="V23" s="26">
        <v>759.509</v>
      </c>
      <c r="W23" s="27">
        <f t="shared" si="0"/>
        <v>13.319789495582</v>
      </c>
      <c r="X23" s="27">
        <v>124012</v>
      </c>
      <c r="Y23" s="10">
        <v>338297</v>
      </c>
      <c r="Z23" s="10">
        <v>548</v>
      </c>
      <c r="AA23" s="10">
        <v>198778</v>
      </c>
      <c r="AB23" s="10"/>
    </row>
    <row r="24" ht="21" spans="1:28">
      <c r="A24" s="10">
        <v>2022</v>
      </c>
      <c r="B24" s="10">
        <v>110000</v>
      </c>
      <c r="C24" s="24" t="s">
        <v>40</v>
      </c>
      <c r="D24" s="10">
        <v>4274.91</v>
      </c>
      <c r="E24" s="10">
        <v>2114.5</v>
      </c>
      <c r="F24" s="10">
        <v>29.8142</v>
      </c>
      <c r="G24" s="10">
        <v>738.875</v>
      </c>
      <c r="H24" s="10">
        <v>8748.87</v>
      </c>
      <c r="I24" s="10">
        <v>38.7026</v>
      </c>
      <c r="J24" s="10">
        <v>22497.4</v>
      </c>
      <c r="K24" s="10">
        <v>561.154</v>
      </c>
      <c r="L24" s="10">
        <v>53.5</v>
      </c>
      <c r="M24" s="10">
        <v>24.7205</v>
      </c>
      <c r="N24" s="10">
        <v>36792.5</v>
      </c>
      <c r="O24" s="10">
        <v>80.7443</v>
      </c>
      <c r="P24" s="10">
        <v>3246.36</v>
      </c>
      <c r="Q24" s="10">
        <v>3926.93</v>
      </c>
      <c r="R24" s="10">
        <v>575.009</v>
      </c>
      <c r="S24" s="25">
        <v>457.48</v>
      </c>
      <c r="T24" s="10">
        <v>212.305</v>
      </c>
      <c r="U24" s="26">
        <v>100.901</v>
      </c>
      <c r="V24" s="26">
        <v>747.057</v>
      </c>
      <c r="W24" s="27">
        <f t="shared" si="0"/>
        <v>13.5064660394053</v>
      </c>
      <c r="X24" s="27">
        <v>131477</v>
      </c>
      <c r="Y24" s="10">
        <v>373235</v>
      </c>
      <c r="Z24" s="10">
        <v>574</v>
      </c>
      <c r="AA24" s="10">
        <v>202722</v>
      </c>
      <c r="AB24" s="10"/>
    </row>
    <row r="25" ht="21" spans="1:28">
      <c r="A25" s="10">
        <v>2023</v>
      </c>
      <c r="B25" s="10">
        <v>110000</v>
      </c>
      <c r="C25" s="24" t="s">
        <v>40</v>
      </c>
      <c r="D25" s="10">
        <v>4366</v>
      </c>
      <c r="E25" s="10">
        <v>2112.3</v>
      </c>
      <c r="F25" s="10">
        <v>32.9</v>
      </c>
      <c r="G25" s="10">
        <v>589.9</v>
      </c>
      <c r="H25" s="10">
        <v>8643.41</v>
      </c>
      <c r="I25" s="10">
        <v>40.8997</v>
      </c>
      <c r="J25" s="10">
        <v>26693.3</v>
      </c>
      <c r="K25" s="10">
        <v>633.32</v>
      </c>
      <c r="L25" s="10">
        <v>52.0444</v>
      </c>
      <c r="M25" s="10">
        <v>23.5671</v>
      </c>
      <c r="N25" s="10">
        <v>42301.7</v>
      </c>
      <c r="O25" s="10">
        <v>78.1186</v>
      </c>
      <c r="P25" s="10">
        <v>3364.7</v>
      </c>
      <c r="Q25" s="10">
        <v>4096</v>
      </c>
      <c r="R25" s="10"/>
      <c r="S25" s="25">
        <v>478.12</v>
      </c>
      <c r="T25" s="10">
        <v>227.6915</v>
      </c>
      <c r="U25" s="26">
        <v>100.006</v>
      </c>
      <c r="V25" s="26">
        <v>755.582</v>
      </c>
      <c r="W25" s="27">
        <f t="shared" si="0"/>
        <v>13.2356249884195</v>
      </c>
      <c r="X25" s="27">
        <v>135534</v>
      </c>
      <c r="Y25" s="10">
        <v>402152</v>
      </c>
      <c r="Z25" s="10">
        <v>516</v>
      </c>
      <c r="AA25" s="10">
        <v>193973</v>
      </c>
      <c r="AB25" s="10"/>
    </row>
    <row r="26" ht="21" spans="1:28">
      <c r="A26" s="10">
        <v>2013</v>
      </c>
      <c r="B26" s="10">
        <v>350000</v>
      </c>
      <c r="C26" s="24" t="s">
        <v>41</v>
      </c>
      <c r="D26" s="10">
        <v>21692</v>
      </c>
      <c r="E26" s="10">
        <v>1439.4</v>
      </c>
      <c r="F26" s="10">
        <v>9.8495</v>
      </c>
      <c r="G26" s="10">
        <v>66.1253</v>
      </c>
      <c r="H26" s="10">
        <v>1603.56</v>
      </c>
      <c r="I26" s="10">
        <v>22.0671</v>
      </c>
      <c r="J26" s="10">
        <v>1014.01</v>
      </c>
      <c r="K26" s="10">
        <v>624.342</v>
      </c>
      <c r="L26" s="10">
        <v>56.5597</v>
      </c>
      <c r="M26" s="10">
        <v>5.75854</v>
      </c>
      <c r="N26" s="10">
        <v>1710.48</v>
      </c>
      <c r="O26" s="10">
        <v>15.1719</v>
      </c>
      <c r="P26" s="10"/>
      <c r="Q26" s="10">
        <v>4303.3</v>
      </c>
      <c r="R26" s="10">
        <v>489.12</v>
      </c>
      <c r="S26" s="25">
        <v>183.1</v>
      </c>
      <c r="T26" s="10">
        <v>4.747498</v>
      </c>
      <c r="U26" s="26">
        <v>6.9597</v>
      </c>
      <c r="V26" s="26">
        <v>644.026</v>
      </c>
      <c r="W26" s="27">
        <f t="shared" si="0"/>
        <v>1.0806551288302</v>
      </c>
      <c r="X26" s="27">
        <v>94450</v>
      </c>
      <c r="Y26" s="10">
        <v>122544</v>
      </c>
      <c r="Z26" s="10">
        <v>1448</v>
      </c>
      <c r="AA26" s="10">
        <v>37511</v>
      </c>
      <c r="AB26" s="10"/>
    </row>
    <row r="27" ht="21" spans="1:28">
      <c r="A27" s="10">
        <v>2014</v>
      </c>
      <c r="B27" s="10">
        <v>350000</v>
      </c>
      <c r="C27" s="24" t="s">
        <v>41</v>
      </c>
      <c r="D27" s="10">
        <v>22471.1</v>
      </c>
      <c r="E27" s="10">
        <v>1618.68</v>
      </c>
      <c r="F27" s="10">
        <v>14.6</v>
      </c>
      <c r="G27" s="10">
        <v>90.2089</v>
      </c>
      <c r="H27" s="10">
        <v>650.697</v>
      </c>
      <c r="I27" s="10">
        <v>22.3442</v>
      </c>
      <c r="J27" s="10">
        <v>1515.48</v>
      </c>
      <c r="K27" s="10">
        <v>694.26</v>
      </c>
      <c r="L27" s="10">
        <v>54.4468</v>
      </c>
      <c r="M27" s="10">
        <v>7.74788</v>
      </c>
      <c r="N27" s="10">
        <v>2098.94</v>
      </c>
      <c r="O27" s="10">
        <v>16.9086</v>
      </c>
      <c r="P27" s="10">
        <v>2959.87</v>
      </c>
      <c r="Q27" s="10">
        <v>4276.73</v>
      </c>
      <c r="R27" s="10">
        <v>594.66</v>
      </c>
      <c r="S27" s="25">
        <v>202.59</v>
      </c>
      <c r="T27" s="10">
        <v>5.463933</v>
      </c>
      <c r="U27" s="26">
        <v>7.0972</v>
      </c>
      <c r="V27" s="26">
        <v>654.641</v>
      </c>
      <c r="W27" s="27">
        <f t="shared" si="0"/>
        <v>1.0841361906755</v>
      </c>
      <c r="X27" s="27">
        <v>102431</v>
      </c>
      <c r="Y27" s="10">
        <v>135866</v>
      </c>
      <c r="Z27" s="10">
        <v>1524</v>
      </c>
      <c r="AA27" s="10">
        <v>37857</v>
      </c>
      <c r="AB27" s="10"/>
    </row>
    <row r="28" ht="21" spans="1:28">
      <c r="A28" s="10">
        <v>2015</v>
      </c>
      <c r="B28" s="10">
        <v>350000</v>
      </c>
      <c r="C28" s="24" t="s">
        <v>41</v>
      </c>
      <c r="D28" s="10">
        <v>23278</v>
      </c>
      <c r="E28" s="10">
        <v>2335.32</v>
      </c>
      <c r="F28" s="10">
        <v>18.6535</v>
      </c>
      <c r="G28" s="10">
        <v>200.6</v>
      </c>
      <c r="H28" s="10"/>
      <c r="I28" s="10">
        <v>24.8</v>
      </c>
      <c r="J28" s="10">
        <v>1827.17</v>
      </c>
      <c r="K28" s="10">
        <v>860.61</v>
      </c>
      <c r="L28" s="10">
        <v>52</v>
      </c>
      <c r="M28" s="10">
        <v>10.2</v>
      </c>
      <c r="N28" s="10">
        <v>2325.23</v>
      </c>
      <c r="O28" s="10">
        <v>16.9596</v>
      </c>
      <c r="P28" s="10">
        <v>3048.19</v>
      </c>
      <c r="Q28" s="10">
        <v>4153.98</v>
      </c>
      <c r="R28" s="10">
        <v>689.18</v>
      </c>
      <c r="S28" s="25">
        <v>245.21</v>
      </c>
      <c r="T28" s="10">
        <v>10.26669</v>
      </c>
      <c r="U28" s="26">
        <v>8.9967</v>
      </c>
      <c r="V28" s="26">
        <v>663.079</v>
      </c>
      <c r="W28" s="27">
        <f t="shared" si="0"/>
        <v>1.35680665501396</v>
      </c>
      <c r="X28" s="27">
        <v>109789</v>
      </c>
      <c r="Y28" s="10">
        <v>126572</v>
      </c>
      <c r="Z28" s="10">
        <v>1595</v>
      </c>
      <c r="AA28" s="10">
        <v>61621</v>
      </c>
      <c r="AB28" s="10"/>
    </row>
    <row r="29" ht="21" spans="1:28">
      <c r="A29" s="10">
        <v>2016</v>
      </c>
      <c r="B29" s="10">
        <v>350000</v>
      </c>
      <c r="C29" s="24" t="s">
        <v>41</v>
      </c>
      <c r="D29" s="10">
        <v>24281.8</v>
      </c>
      <c r="E29" s="10">
        <v>2482.29</v>
      </c>
      <c r="F29" s="10">
        <v>21.8757</v>
      </c>
      <c r="G29" s="10">
        <v>509.588</v>
      </c>
      <c r="H29" s="10"/>
      <c r="I29" s="10">
        <v>28.5936</v>
      </c>
      <c r="J29" s="10">
        <v>2157.9</v>
      </c>
      <c r="K29" s="10">
        <v>588.52</v>
      </c>
      <c r="L29" s="10">
        <v>49</v>
      </c>
      <c r="M29" s="10">
        <v>12.2</v>
      </c>
      <c r="N29" s="10">
        <v>2399.31</v>
      </c>
      <c r="O29" s="10">
        <v>17.5422</v>
      </c>
      <c r="P29" s="10">
        <v>3267.49</v>
      </c>
      <c r="Q29" s="10">
        <v>4159.04</v>
      </c>
      <c r="R29" s="10">
        <v>715.37</v>
      </c>
      <c r="S29" s="25">
        <v>252.67</v>
      </c>
      <c r="T29" s="10">
        <v>20.32505</v>
      </c>
      <c r="U29" s="26">
        <v>9.1104</v>
      </c>
      <c r="V29" s="26">
        <v>668.826</v>
      </c>
      <c r="W29" s="27">
        <f t="shared" si="0"/>
        <v>1.36214800261952</v>
      </c>
      <c r="X29" s="27">
        <v>112010</v>
      </c>
      <c r="Y29" s="10">
        <v>132155</v>
      </c>
      <c r="Z29" s="10">
        <v>1618</v>
      </c>
      <c r="AA29" s="10">
        <v>67142</v>
      </c>
      <c r="AB29" s="10"/>
    </row>
    <row r="30" ht="21" spans="1:28">
      <c r="A30" s="10">
        <v>2017</v>
      </c>
      <c r="B30" s="10">
        <v>350000</v>
      </c>
      <c r="C30" s="24" t="s">
        <v>41</v>
      </c>
      <c r="D30" s="10">
        <v>25343.8</v>
      </c>
      <c r="E30" s="10">
        <v>2861.77</v>
      </c>
      <c r="F30" s="10">
        <v>23.1161</v>
      </c>
      <c r="G30" s="10">
        <v>882.491</v>
      </c>
      <c r="H30" s="10">
        <v>657.087</v>
      </c>
      <c r="I30" s="10">
        <v>30.2777</v>
      </c>
      <c r="J30" s="10">
        <v>2496.52</v>
      </c>
      <c r="K30" s="10">
        <v>908.947</v>
      </c>
      <c r="L30" s="10">
        <v>47</v>
      </c>
      <c r="M30" s="10">
        <v>10.9</v>
      </c>
      <c r="N30" s="10">
        <v>2872.79</v>
      </c>
      <c r="O30" s="10">
        <v>18.0355</v>
      </c>
      <c r="P30" s="10">
        <v>3508.76</v>
      </c>
      <c r="Q30" s="10">
        <v>4295.04</v>
      </c>
      <c r="R30" s="10">
        <v>727.02</v>
      </c>
      <c r="S30" s="25">
        <v>299.28</v>
      </c>
      <c r="T30" s="10">
        <v>30.98418</v>
      </c>
      <c r="U30" s="26">
        <v>10.8489</v>
      </c>
      <c r="V30" s="26">
        <v>672.484</v>
      </c>
      <c r="W30" s="27">
        <f t="shared" si="0"/>
        <v>1.61325771319466</v>
      </c>
      <c r="X30" s="27">
        <v>121774</v>
      </c>
      <c r="Y30" s="10">
        <v>140325</v>
      </c>
      <c r="Z30" s="10">
        <v>1665</v>
      </c>
      <c r="AA30" s="10">
        <v>68304</v>
      </c>
      <c r="AB30" s="10"/>
    </row>
    <row r="31" ht="21" spans="1:28">
      <c r="A31" s="10">
        <v>2018</v>
      </c>
      <c r="B31" s="10">
        <v>350000</v>
      </c>
      <c r="C31" s="24" t="s">
        <v>41</v>
      </c>
      <c r="D31" s="10">
        <v>23476.7</v>
      </c>
      <c r="E31" s="10">
        <v>3244.96</v>
      </c>
      <c r="F31" s="10">
        <v>23.6036</v>
      </c>
      <c r="G31" s="10">
        <v>736.374</v>
      </c>
      <c r="H31" s="10">
        <v>657.514</v>
      </c>
      <c r="I31" s="10">
        <v>27.9946</v>
      </c>
      <c r="J31" s="10">
        <v>2890.05</v>
      </c>
      <c r="K31" s="10">
        <v>2026.23</v>
      </c>
      <c r="L31" s="10">
        <v>44</v>
      </c>
      <c r="M31" s="10">
        <v>10.8463</v>
      </c>
      <c r="N31" s="10">
        <v>3480.96</v>
      </c>
      <c r="O31" s="10">
        <v>17.286</v>
      </c>
      <c r="P31" s="10">
        <v>3793.55</v>
      </c>
      <c r="Q31" s="10">
        <v>4553.52</v>
      </c>
      <c r="R31" s="10">
        <v>716.23</v>
      </c>
      <c r="S31" s="25">
        <v>334.44</v>
      </c>
      <c r="T31" s="10">
        <v>38.83465</v>
      </c>
      <c r="U31" s="26">
        <v>12.2669</v>
      </c>
      <c r="V31" s="26">
        <v>705.357</v>
      </c>
      <c r="W31" s="27">
        <f t="shared" si="0"/>
        <v>1.73910516235041</v>
      </c>
      <c r="X31" s="27">
        <v>120998</v>
      </c>
      <c r="Y31" s="10">
        <v>160922</v>
      </c>
      <c r="Z31" s="10">
        <v>1697</v>
      </c>
      <c r="AA31" s="10">
        <v>102622</v>
      </c>
      <c r="AB31" s="10"/>
    </row>
    <row r="32" ht="21" spans="1:28">
      <c r="A32" s="10">
        <v>2019</v>
      </c>
      <c r="B32" s="10">
        <v>350000</v>
      </c>
      <c r="C32" s="24" t="s">
        <v>41</v>
      </c>
      <c r="D32" s="10">
        <v>24733</v>
      </c>
      <c r="E32" s="10">
        <v>3232.05</v>
      </c>
      <c r="F32" s="10">
        <v>29.0227</v>
      </c>
      <c r="G32" s="10">
        <v>695.124</v>
      </c>
      <c r="H32" s="10">
        <v>657.84</v>
      </c>
      <c r="I32" s="10">
        <v>20.3376</v>
      </c>
      <c r="J32" s="10">
        <v>2971.87</v>
      </c>
      <c r="K32" s="10">
        <v>3235.45</v>
      </c>
      <c r="L32" s="10">
        <v>39.8</v>
      </c>
      <c r="M32" s="10">
        <v>11.2</v>
      </c>
      <c r="N32" s="10">
        <v>4477.93</v>
      </c>
      <c r="O32" s="10">
        <v>18.9401</v>
      </c>
      <c r="P32" s="10">
        <v>3915.76</v>
      </c>
      <c r="Q32" s="10">
        <v>4720.32</v>
      </c>
      <c r="R32" s="10">
        <v>727.4</v>
      </c>
      <c r="S32" s="25">
        <v>360.51</v>
      </c>
      <c r="T32" s="10">
        <v>39.06218</v>
      </c>
      <c r="U32" s="26">
        <v>10.7821</v>
      </c>
      <c r="V32" s="26">
        <v>639.584</v>
      </c>
      <c r="W32" s="27">
        <f t="shared" si="0"/>
        <v>1.68579889428128</v>
      </c>
      <c r="X32" s="27">
        <v>121645</v>
      </c>
      <c r="Y32" s="10">
        <v>171452</v>
      </c>
      <c r="Z32" s="10">
        <v>1879</v>
      </c>
      <c r="AA32" s="10">
        <v>98955</v>
      </c>
      <c r="AB32" s="10"/>
    </row>
    <row r="33" ht="21" spans="1:28">
      <c r="A33" s="10">
        <v>2020</v>
      </c>
      <c r="B33" s="10">
        <v>350000</v>
      </c>
      <c r="C33" s="24" t="s">
        <v>41</v>
      </c>
      <c r="D33" s="10">
        <v>25010</v>
      </c>
      <c r="E33" s="10">
        <v>3370</v>
      </c>
      <c r="F33" s="10">
        <v>32.3</v>
      </c>
      <c r="G33" s="10">
        <v>324.9</v>
      </c>
      <c r="H33" s="10">
        <v>664.3</v>
      </c>
      <c r="I33" s="10">
        <v>12.6806</v>
      </c>
      <c r="J33" s="10">
        <v>2274.9</v>
      </c>
      <c r="K33" s="10">
        <v>3908.46</v>
      </c>
      <c r="L33" s="10">
        <v>40</v>
      </c>
      <c r="M33" s="10">
        <v>11.9</v>
      </c>
      <c r="N33" s="10">
        <v>5082.2</v>
      </c>
      <c r="O33" s="10">
        <v>22</v>
      </c>
      <c r="P33" s="10">
        <v>3979.6</v>
      </c>
      <c r="Q33" s="10">
        <v>4739.3</v>
      </c>
      <c r="R33" s="10">
        <v>726.77</v>
      </c>
      <c r="S33" s="25">
        <v>380.13</v>
      </c>
      <c r="T33" s="10">
        <v>58.82912</v>
      </c>
      <c r="U33" s="26">
        <v>10.3375</v>
      </c>
      <c r="V33" s="26">
        <v>605.899</v>
      </c>
      <c r="W33" s="27">
        <f t="shared" si="0"/>
        <v>1.70614244288239</v>
      </c>
      <c r="X33" s="27">
        <v>124411</v>
      </c>
      <c r="Y33" s="10">
        <v>185622</v>
      </c>
      <c r="Z33" s="10">
        <v>2143</v>
      </c>
      <c r="AA33" s="10">
        <v>145928</v>
      </c>
      <c r="AB33" s="10"/>
    </row>
    <row r="34" ht="21" spans="1:28">
      <c r="A34" s="10">
        <v>2021</v>
      </c>
      <c r="B34" s="10">
        <v>350000</v>
      </c>
      <c r="C34" s="24" t="s">
        <v>41</v>
      </c>
      <c r="D34" s="10">
        <v>26218.3</v>
      </c>
      <c r="E34" s="10">
        <v>3546.56</v>
      </c>
      <c r="F34" s="10">
        <v>34.5434</v>
      </c>
      <c r="G34" s="10">
        <v>433.071</v>
      </c>
      <c r="H34" s="10">
        <v>659.78</v>
      </c>
      <c r="I34" s="10">
        <v>13.6153</v>
      </c>
      <c r="J34" s="10">
        <v>2480.56</v>
      </c>
      <c r="K34" s="10">
        <v>530.53</v>
      </c>
      <c r="L34" s="10">
        <v>38.9</v>
      </c>
      <c r="M34" s="10">
        <v>11.8</v>
      </c>
      <c r="N34" s="10">
        <v>6397.19</v>
      </c>
      <c r="O34" s="10">
        <v>22.6961</v>
      </c>
      <c r="P34" s="10">
        <v>4146.55</v>
      </c>
      <c r="Q34" s="10">
        <v>4824.25</v>
      </c>
      <c r="R34" s="10">
        <v>733.45</v>
      </c>
      <c r="S34" s="25">
        <v>400.26</v>
      </c>
      <c r="T34" s="10">
        <v>56.48971</v>
      </c>
      <c r="U34" s="26">
        <v>10.7312</v>
      </c>
      <c r="V34" s="26">
        <v>578.999</v>
      </c>
      <c r="W34" s="27">
        <f t="shared" si="0"/>
        <v>1.85340561900798</v>
      </c>
      <c r="X34" s="27">
        <v>125132</v>
      </c>
      <c r="Y34" s="10">
        <v>235412</v>
      </c>
      <c r="Z34" s="10">
        <v>2115</v>
      </c>
      <c r="AA34" s="10">
        <v>153814</v>
      </c>
      <c r="AB34" s="10"/>
    </row>
    <row r="35" ht="21" spans="1:28">
      <c r="A35" s="10">
        <v>2022</v>
      </c>
      <c r="B35" s="10">
        <v>350000</v>
      </c>
      <c r="C35" s="24" t="s">
        <v>41</v>
      </c>
      <c r="D35" s="10">
        <v>26927.8</v>
      </c>
      <c r="E35" s="10">
        <v>3726.18</v>
      </c>
      <c r="F35" s="10">
        <v>39.3685</v>
      </c>
      <c r="G35" s="10">
        <v>404.971</v>
      </c>
      <c r="H35" s="10">
        <v>669.294</v>
      </c>
      <c r="I35" s="10">
        <v>11.9244</v>
      </c>
      <c r="J35" s="10">
        <v>2776.32</v>
      </c>
      <c r="K35" s="10">
        <v>537.763</v>
      </c>
      <c r="L35" s="10">
        <v>33.6</v>
      </c>
      <c r="M35" s="10">
        <v>10.3219</v>
      </c>
      <c r="N35" s="10">
        <v>8465.19</v>
      </c>
      <c r="O35" s="10">
        <v>24.0241</v>
      </c>
      <c r="P35" s="10">
        <v>4281.84</v>
      </c>
      <c r="Q35" s="10">
        <v>4894.4</v>
      </c>
      <c r="R35" s="10">
        <v>730.245</v>
      </c>
      <c r="S35" s="25">
        <v>420.96</v>
      </c>
      <c r="T35" s="10">
        <v>58.96734</v>
      </c>
      <c r="U35" s="26">
        <v>10.3744</v>
      </c>
      <c r="V35" s="26">
        <v>559.158</v>
      </c>
      <c r="W35" s="27">
        <f t="shared" si="0"/>
        <v>1.85536109650582</v>
      </c>
      <c r="X35" s="27">
        <v>137182</v>
      </c>
      <c r="Y35" s="10">
        <v>260296</v>
      </c>
      <c r="Z35" s="10">
        <v>2340</v>
      </c>
      <c r="AA35" s="10">
        <v>141536</v>
      </c>
      <c r="AB35" s="10"/>
    </row>
    <row r="36" ht="21" spans="1:28">
      <c r="A36" s="10">
        <v>2023</v>
      </c>
      <c r="B36" s="10">
        <v>350000</v>
      </c>
      <c r="C36" s="24" t="s">
        <v>41</v>
      </c>
      <c r="D36" s="10">
        <v>31167</v>
      </c>
      <c r="E36" s="10">
        <v>3833.2</v>
      </c>
      <c r="F36" s="10">
        <v>41.7</v>
      </c>
      <c r="G36" s="10">
        <v>204.3</v>
      </c>
      <c r="H36" s="10">
        <v>658.807</v>
      </c>
      <c r="I36" s="10">
        <v>12.4583</v>
      </c>
      <c r="J36" s="10">
        <v>3073.72</v>
      </c>
      <c r="K36" s="10">
        <v>536.43</v>
      </c>
      <c r="L36" s="10">
        <v>32.3834</v>
      </c>
      <c r="M36" s="10">
        <v>13.0042</v>
      </c>
      <c r="N36" s="10">
        <v>12541.3</v>
      </c>
      <c r="O36" s="10">
        <v>28.8693</v>
      </c>
      <c r="P36" s="10">
        <v>4433.9</v>
      </c>
      <c r="Q36" s="10">
        <v>4970.3</v>
      </c>
      <c r="R36" s="10"/>
      <c r="S36" s="25">
        <v>441.85</v>
      </c>
      <c r="T36" s="10">
        <v>68.0403</v>
      </c>
      <c r="U36" s="26">
        <v>10.6631</v>
      </c>
      <c r="V36" s="26">
        <v>548.624</v>
      </c>
      <c r="W36" s="27">
        <f t="shared" si="0"/>
        <v>1.9436080083992</v>
      </c>
      <c r="X36" s="27">
        <v>145406</v>
      </c>
      <c r="Y36" s="10">
        <v>279771</v>
      </c>
      <c r="Z36" s="10">
        <v>2213</v>
      </c>
      <c r="AA36" s="10">
        <v>120264</v>
      </c>
      <c r="AB36" s="10"/>
    </row>
    <row r="37" ht="21" spans="1:28">
      <c r="A37" s="10">
        <v>2013</v>
      </c>
      <c r="B37" s="10">
        <v>620000</v>
      </c>
      <c r="C37" s="24" t="s">
        <v>42</v>
      </c>
      <c r="D37" s="10">
        <v>31192</v>
      </c>
      <c r="E37" s="10">
        <v>460.3</v>
      </c>
      <c r="F37" s="10">
        <v>4.7299</v>
      </c>
      <c r="G37" s="10">
        <v>2.9295</v>
      </c>
      <c r="H37" s="10">
        <v>158.618</v>
      </c>
      <c r="I37" s="10">
        <v>0.7137</v>
      </c>
      <c r="J37" s="10">
        <v>24.5034</v>
      </c>
      <c r="K37" s="10">
        <v>227.33</v>
      </c>
      <c r="L37" s="10">
        <v>48.2018</v>
      </c>
      <c r="M37" s="10">
        <v>2.96784</v>
      </c>
      <c r="N37" s="10">
        <v>225.102</v>
      </c>
      <c r="O37" s="10">
        <v>15.8737</v>
      </c>
      <c r="P37" s="10"/>
      <c r="Q37" s="10">
        <v>1976.2</v>
      </c>
      <c r="R37" s="10">
        <v>196.09</v>
      </c>
      <c r="S37" s="25">
        <v>128.39</v>
      </c>
      <c r="T37" s="10">
        <v>0.3872107</v>
      </c>
      <c r="U37" s="26">
        <v>3.0607</v>
      </c>
      <c r="V37" s="26">
        <v>256.645</v>
      </c>
      <c r="W37" s="27">
        <f t="shared" si="0"/>
        <v>1.1925811919188</v>
      </c>
      <c r="X37" s="27">
        <v>60848</v>
      </c>
      <c r="Y37" s="10">
        <v>25047.3</v>
      </c>
      <c r="Z37" s="10">
        <v>243</v>
      </c>
      <c r="AA37" s="10">
        <v>4737</v>
      </c>
      <c r="AB37" s="10"/>
    </row>
    <row r="38" ht="21" spans="1:28">
      <c r="A38" s="10">
        <v>2014</v>
      </c>
      <c r="B38" s="10">
        <v>620000</v>
      </c>
      <c r="C38" s="24" t="s">
        <v>42</v>
      </c>
      <c r="D38" s="10">
        <v>31377</v>
      </c>
      <c r="E38" s="10">
        <v>473.18</v>
      </c>
      <c r="F38" s="10">
        <v>5.5</v>
      </c>
      <c r="G38" s="10">
        <v>4.8074</v>
      </c>
      <c r="H38" s="10">
        <v>159.354</v>
      </c>
      <c r="I38" s="10">
        <v>0.7174</v>
      </c>
      <c r="J38" s="10">
        <v>27.2311</v>
      </c>
      <c r="K38" s="10">
        <v>264.01</v>
      </c>
      <c r="L38" s="10">
        <v>53.4127</v>
      </c>
      <c r="M38" s="10">
        <v>5.02646</v>
      </c>
      <c r="N38" s="10">
        <v>340.193</v>
      </c>
      <c r="O38" s="10">
        <v>16.8997</v>
      </c>
      <c r="P38" s="10">
        <v>1668.81</v>
      </c>
      <c r="Q38" s="10">
        <v>2058.62</v>
      </c>
      <c r="R38" s="10">
        <v>197.028</v>
      </c>
      <c r="S38" s="25">
        <v>159.76</v>
      </c>
      <c r="T38" s="10">
        <v>0.4933522</v>
      </c>
      <c r="U38" s="26">
        <v>2.7561</v>
      </c>
      <c r="V38" s="26">
        <v>264.745</v>
      </c>
      <c r="W38" s="27">
        <f t="shared" si="0"/>
        <v>1.0410394908308</v>
      </c>
      <c r="X38" s="27">
        <v>64285</v>
      </c>
      <c r="Y38" s="10">
        <v>27122</v>
      </c>
      <c r="Z38" s="10">
        <v>311</v>
      </c>
      <c r="AA38" s="10">
        <v>5097</v>
      </c>
      <c r="AB38" s="10"/>
    </row>
    <row r="39" ht="21" spans="1:28">
      <c r="A39" s="10">
        <v>2015</v>
      </c>
      <c r="B39" s="10">
        <v>620000</v>
      </c>
      <c r="C39" s="24" t="s">
        <v>42</v>
      </c>
      <c r="D39" s="10">
        <v>32446</v>
      </c>
      <c r="E39" s="10">
        <v>820.48</v>
      </c>
      <c r="F39" s="10">
        <v>7.8443</v>
      </c>
      <c r="G39" s="10">
        <v>13.7</v>
      </c>
      <c r="H39" s="10"/>
      <c r="I39" s="10">
        <v>0.9</v>
      </c>
      <c r="J39" s="10">
        <v>35.6782</v>
      </c>
      <c r="K39" s="10">
        <v>349.29</v>
      </c>
      <c r="L39" s="10">
        <v>54</v>
      </c>
      <c r="M39" s="10">
        <v>8</v>
      </c>
      <c r="N39" s="10">
        <v>321.107</v>
      </c>
      <c r="O39" s="10">
        <v>19.0193</v>
      </c>
      <c r="P39" s="10">
        <v>1598.81</v>
      </c>
      <c r="Q39" s="10">
        <v>2105.32</v>
      </c>
      <c r="R39" s="10">
        <v>191.78</v>
      </c>
      <c r="S39" s="25">
        <v>199.78</v>
      </c>
      <c r="T39" s="10">
        <v>0.557377</v>
      </c>
      <c r="U39" s="26">
        <v>2.73</v>
      </c>
      <c r="V39" s="26">
        <v>261.756</v>
      </c>
      <c r="W39" s="27">
        <f t="shared" si="0"/>
        <v>1.04295603539174</v>
      </c>
      <c r="X39" s="27">
        <v>67158</v>
      </c>
      <c r="Y39" s="10">
        <v>25858.8</v>
      </c>
      <c r="Z39" s="10">
        <v>284</v>
      </c>
      <c r="AA39" s="10">
        <v>6912</v>
      </c>
      <c r="AB39" s="10"/>
    </row>
    <row r="40" ht="21" spans="1:28">
      <c r="A40" s="10">
        <v>2016</v>
      </c>
      <c r="B40" s="10">
        <v>620000</v>
      </c>
      <c r="C40" s="24" t="s">
        <v>42</v>
      </c>
      <c r="D40" s="10">
        <v>33408.9</v>
      </c>
      <c r="E40" s="10">
        <v>946.036</v>
      </c>
      <c r="F40" s="10">
        <v>11.4249</v>
      </c>
      <c r="G40" s="10">
        <v>11.113</v>
      </c>
      <c r="H40" s="10"/>
      <c r="I40" s="10">
        <v>1.1008</v>
      </c>
      <c r="J40" s="10">
        <v>41.421</v>
      </c>
      <c r="K40" s="10">
        <v>232.05</v>
      </c>
      <c r="L40" s="10">
        <v>55</v>
      </c>
      <c r="M40" s="10">
        <v>10.5</v>
      </c>
      <c r="N40" s="10">
        <v>324.976</v>
      </c>
      <c r="O40" s="10">
        <v>20.3938</v>
      </c>
      <c r="P40" s="10">
        <v>1804.94</v>
      </c>
      <c r="Q40" s="10">
        <v>2203.84</v>
      </c>
      <c r="R40" s="10">
        <v>171.37</v>
      </c>
      <c r="S40" s="25">
        <v>204.11</v>
      </c>
      <c r="T40" s="10">
        <v>1.520136</v>
      </c>
      <c r="U40" s="26">
        <v>2.7494</v>
      </c>
      <c r="V40" s="26">
        <v>260.958</v>
      </c>
      <c r="W40" s="27">
        <f t="shared" si="0"/>
        <v>1.05357950321508</v>
      </c>
      <c r="X40" s="27">
        <v>70621</v>
      </c>
      <c r="Y40" s="10">
        <v>25759.1</v>
      </c>
      <c r="Z40" s="10">
        <v>263</v>
      </c>
      <c r="AA40" s="10">
        <v>7975</v>
      </c>
      <c r="AB40" s="10"/>
    </row>
    <row r="41" ht="21" spans="1:28">
      <c r="A41" s="10">
        <v>2017</v>
      </c>
      <c r="B41" s="10">
        <v>620000</v>
      </c>
      <c r="C41" s="24" t="s">
        <v>42</v>
      </c>
      <c r="D41" s="10">
        <v>35762.1</v>
      </c>
      <c r="E41" s="10">
        <v>1099.87</v>
      </c>
      <c r="F41" s="10">
        <v>13.9441</v>
      </c>
      <c r="G41" s="10">
        <v>11.6618</v>
      </c>
      <c r="H41" s="10">
        <v>159.191</v>
      </c>
      <c r="I41" s="10">
        <v>1.2944</v>
      </c>
      <c r="J41" s="10">
        <v>45.7531</v>
      </c>
      <c r="K41" s="10">
        <v>456.191</v>
      </c>
      <c r="L41" s="10">
        <v>52</v>
      </c>
      <c r="M41" s="10">
        <v>6.8</v>
      </c>
      <c r="N41" s="10">
        <v>412.581</v>
      </c>
      <c r="O41" s="10">
        <v>22.2623</v>
      </c>
      <c r="P41" s="10">
        <v>2034.1</v>
      </c>
      <c r="Q41" s="10">
        <v>2526.41</v>
      </c>
      <c r="R41" s="10">
        <v>159</v>
      </c>
      <c r="S41" s="25">
        <v>243.78</v>
      </c>
      <c r="T41" s="10">
        <v>2.017491</v>
      </c>
      <c r="U41" s="26">
        <v>2.8994</v>
      </c>
      <c r="V41" s="26">
        <v>259.217</v>
      </c>
      <c r="W41" s="27">
        <f t="shared" si="0"/>
        <v>1.11852231913802</v>
      </c>
      <c r="X41" s="27">
        <v>70242</v>
      </c>
      <c r="Y41" s="10">
        <v>23738</v>
      </c>
      <c r="Z41" s="10">
        <v>228</v>
      </c>
      <c r="AA41" s="10">
        <v>9672</v>
      </c>
      <c r="AB41" s="10"/>
    </row>
    <row r="42" ht="21" spans="1:28">
      <c r="A42" s="10">
        <v>2018</v>
      </c>
      <c r="B42" s="10">
        <v>620000</v>
      </c>
      <c r="C42" s="24" t="s">
        <v>42</v>
      </c>
      <c r="D42" s="10">
        <v>36099.9</v>
      </c>
      <c r="E42" s="10">
        <v>1127.95</v>
      </c>
      <c r="F42" s="10">
        <v>15.7769</v>
      </c>
      <c r="G42" s="10">
        <v>25.3713</v>
      </c>
      <c r="H42" s="10">
        <v>159.294</v>
      </c>
      <c r="I42" s="10">
        <v>1.4326</v>
      </c>
      <c r="J42" s="10">
        <v>52.2835</v>
      </c>
      <c r="K42" s="10">
        <v>1194.2</v>
      </c>
      <c r="L42" s="10">
        <v>49</v>
      </c>
      <c r="M42" s="10">
        <v>7.50336</v>
      </c>
      <c r="N42" s="10">
        <v>506.367</v>
      </c>
      <c r="O42" s="10">
        <v>23.2776</v>
      </c>
      <c r="P42" s="10">
        <v>2210.61</v>
      </c>
      <c r="Q42" s="10">
        <v>2735.99</v>
      </c>
      <c r="R42" s="10">
        <v>144.49</v>
      </c>
      <c r="S42" s="25">
        <v>266.82</v>
      </c>
      <c r="T42" s="10">
        <v>2.833756</v>
      </c>
      <c r="U42" s="26">
        <v>2.9766</v>
      </c>
      <c r="V42" s="26">
        <v>246.683</v>
      </c>
      <c r="W42" s="27">
        <f t="shared" si="0"/>
        <v>1.20664982994369</v>
      </c>
      <c r="X42" s="27">
        <v>70587</v>
      </c>
      <c r="Y42" s="10">
        <v>22213.9</v>
      </c>
      <c r="Z42" s="10">
        <v>190</v>
      </c>
      <c r="AA42" s="10">
        <v>13958</v>
      </c>
      <c r="AB42" s="10"/>
    </row>
    <row r="43" ht="21" spans="1:28">
      <c r="A43" s="10">
        <v>2019</v>
      </c>
      <c r="B43" s="10">
        <v>620000</v>
      </c>
      <c r="C43" s="24" t="s">
        <v>42</v>
      </c>
      <c r="D43" s="10">
        <v>37436</v>
      </c>
      <c r="E43" s="10">
        <v>1405.75</v>
      </c>
      <c r="F43" s="10">
        <v>17.1569</v>
      </c>
      <c r="G43" s="10">
        <v>34.3054</v>
      </c>
      <c r="H43" s="10">
        <v>159.374</v>
      </c>
      <c r="I43" s="10">
        <v>1.4878</v>
      </c>
      <c r="J43" s="10">
        <v>60.911</v>
      </c>
      <c r="K43" s="10">
        <v>1958.88</v>
      </c>
      <c r="L43" s="10">
        <v>43.2</v>
      </c>
      <c r="M43" s="10">
        <v>7.9</v>
      </c>
      <c r="N43" s="10">
        <v>553.533</v>
      </c>
      <c r="O43" s="10">
        <v>25.847</v>
      </c>
      <c r="P43" s="10">
        <v>2323.06</v>
      </c>
      <c r="Q43" s="10">
        <v>2751.17</v>
      </c>
      <c r="R43" s="10">
        <v>122.15</v>
      </c>
      <c r="S43" s="25">
        <v>289.14</v>
      </c>
      <c r="T43" s="10">
        <v>4.835995</v>
      </c>
      <c r="U43" s="26">
        <v>3.7413</v>
      </c>
      <c r="V43" s="26">
        <v>253.04</v>
      </c>
      <c r="W43" s="27">
        <f t="shared" si="0"/>
        <v>1.47854094214353</v>
      </c>
      <c r="X43" s="27">
        <v>68928</v>
      </c>
      <c r="Y43" s="10">
        <v>25956</v>
      </c>
      <c r="Z43" s="10">
        <v>189</v>
      </c>
      <c r="AA43" s="10">
        <v>14894</v>
      </c>
      <c r="AB43" s="10"/>
    </row>
    <row r="44" ht="21" spans="1:28">
      <c r="A44" s="10">
        <v>2020</v>
      </c>
      <c r="B44" s="10">
        <v>620000</v>
      </c>
      <c r="C44" s="24" t="s">
        <v>42</v>
      </c>
      <c r="D44" s="10">
        <v>39961</v>
      </c>
      <c r="E44" s="10">
        <v>1460.6</v>
      </c>
      <c r="F44" s="10">
        <v>18.6</v>
      </c>
      <c r="G44" s="10">
        <v>42.7</v>
      </c>
      <c r="H44" s="10">
        <v>160.1</v>
      </c>
      <c r="I44" s="10">
        <v>1.543</v>
      </c>
      <c r="J44" s="10">
        <v>64.03</v>
      </c>
      <c r="K44" s="10">
        <v>2557.64</v>
      </c>
      <c r="L44" s="10">
        <v>43</v>
      </c>
      <c r="M44" s="10">
        <v>8.8</v>
      </c>
      <c r="N44" s="10">
        <v>543.9</v>
      </c>
      <c r="O44" s="10">
        <v>28</v>
      </c>
      <c r="P44" s="10">
        <v>2298.6</v>
      </c>
      <c r="Q44" s="10">
        <v>2673.8</v>
      </c>
      <c r="R44" s="10">
        <v>126.35</v>
      </c>
      <c r="S44" s="25">
        <v>305.5</v>
      </c>
      <c r="T44" s="10">
        <v>6.945635</v>
      </c>
      <c r="U44" s="26">
        <v>3.6189</v>
      </c>
      <c r="V44" s="26">
        <v>262.227</v>
      </c>
      <c r="W44" s="27">
        <f t="shared" si="0"/>
        <v>1.3800638378199</v>
      </c>
      <c r="X44" s="27">
        <v>71341</v>
      </c>
      <c r="Y44" s="10">
        <v>26813.5</v>
      </c>
      <c r="Z44" s="10">
        <v>205</v>
      </c>
      <c r="AA44" s="10">
        <v>20991</v>
      </c>
      <c r="AB44" s="10"/>
    </row>
    <row r="45" ht="21" spans="1:28">
      <c r="A45" s="10">
        <v>2021</v>
      </c>
      <c r="B45" s="10">
        <v>620000</v>
      </c>
      <c r="C45" s="24" t="s">
        <v>42</v>
      </c>
      <c r="D45" s="10">
        <v>40479.8</v>
      </c>
      <c r="E45" s="10">
        <v>1622.62</v>
      </c>
      <c r="F45" s="10">
        <v>20.1557</v>
      </c>
      <c r="G45" s="10">
        <v>14.6412</v>
      </c>
      <c r="H45" s="10">
        <v>160.922</v>
      </c>
      <c r="I45" s="10">
        <v>1.7928</v>
      </c>
      <c r="J45" s="10">
        <v>46.2383</v>
      </c>
      <c r="K45" s="10">
        <v>300.63</v>
      </c>
      <c r="L45" s="10">
        <v>44.8</v>
      </c>
      <c r="M45" s="10">
        <v>9.3</v>
      </c>
      <c r="N45" s="10">
        <v>771.095</v>
      </c>
      <c r="O45" s="10">
        <v>28.9782</v>
      </c>
      <c r="P45" s="10">
        <v>2434.24</v>
      </c>
      <c r="Q45" s="10">
        <v>2744.72</v>
      </c>
      <c r="R45" s="10">
        <v>122.62</v>
      </c>
      <c r="S45" s="25">
        <v>322.17</v>
      </c>
      <c r="T45" s="10">
        <v>6.607241</v>
      </c>
      <c r="U45" s="26">
        <v>3.5024</v>
      </c>
      <c r="V45" s="26">
        <v>261.301</v>
      </c>
      <c r="W45" s="27">
        <f t="shared" si="0"/>
        <v>1.34036991821692</v>
      </c>
      <c r="X45" s="27">
        <v>71429</v>
      </c>
      <c r="Y45" s="10">
        <v>33254.7</v>
      </c>
      <c r="Z45" s="10">
        <v>225</v>
      </c>
      <c r="AA45" s="10">
        <v>26056</v>
      </c>
      <c r="AB45" s="10"/>
    </row>
    <row r="46" ht="21" spans="1:28">
      <c r="A46" s="10">
        <v>2022</v>
      </c>
      <c r="B46" s="10">
        <v>620000</v>
      </c>
      <c r="C46" s="24" t="s">
        <v>42</v>
      </c>
      <c r="D46" s="10">
        <v>40969.5</v>
      </c>
      <c r="E46" s="10">
        <v>1754.25</v>
      </c>
      <c r="F46" s="10">
        <v>21.4909</v>
      </c>
      <c r="G46" s="10">
        <v>10.3035</v>
      </c>
      <c r="H46" s="10">
        <v>161.317</v>
      </c>
      <c r="I46" s="10">
        <v>1.6706</v>
      </c>
      <c r="J46" s="10">
        <v>42.0514</v>
      </c>
      <c r="K46" s="10">
        <v>297.947</v>
      </c>
      <c r="L46" s="10">
        <v>37.4</v>
      </c>
      <c r="M46" s="10">
        <v>7.6716</v>
      </c>
      <c r="N46" s="10">
        <v>1174.19</v>
      </c>
      <c r="O46" s="10">
        <v>30.6108</v>
      </c>
      <c r="P46" s="10">
        <v>2483.32</v>
      </c>
      <c r="Q46" s="10">
        <v>2784.35</v>
      </c>
      <c r="R46" s="10">
        <v>118.069</v>
      </c>
      <c r="S46" s="25">
        <v>339.77</v>
      </c>
      <c r="T46" s="10">
        <v>7.429797</v>
      </c>
      <c r="U46" s="26">
        <v>3.3165</v>
      </c>
      <c r="V46" s="26">
        <v>257.546</v>
      </c>
      <c r="W46" s="27">
        <f t="shared" si="0"/>
        <v>1.28773112376042</v>
      </c>
      <c r="X46" s="27">
        <v>80494</v>
      </c>
      <c r="Y46" s="10">
        <v>34325.3</v>
      </c>
      <c r="Z46" s="10">
        <v>306</v>
      </c>
      <c r="AA46" s="10">
        <v>22490</v>
      </c>
      <c r="AB46" s="10"/>
    </row>
    <row r="47" ht="21" spans="1:28">
      <c r="A47" s="10">
        <v>2023</v>
      </c>
      <c r="B47" s="10">
        <v>620000</v>
      </c>
      <c r="C47" s="24" t="s">
        <v>42</v>
      </c>
      <c r="D47" s="10">
        <v>43970</v>
      </c>
      <c r="E47" s="10">
        <v>1958.6</v>
      </c>
      <c r="F47" s="10">
        <v>22.4</v>
      </c>
      <c r="G47" s="10">
        <v>19.6</v>
      </c>
      <c r="H47" s="10">
        <v>161.27</v>
      </c>
      <c r="I47" s="10">
        <v>1.7944</v>
      </c>
      <c r="J47" s="10">
        <v>45.9</v>
      </c>
      <c r="K47" s="10">
        <v>300.42</v>
      </c>
      <c r="L47" s="10">
        <v>30.1992</v>
      </c>
      <c r="M47" s="10">
        <v>10.7493</v>
      </c>
      <c r="N47" s="10">
        <v>1403.45</v>
      </c>
      <c r="O47" s="10">
        <v>32.7794</v>
      </c>
      <c r="P47" s="10">
        <v>2613.3</v>
      </c>
      <c r="Q47" s="10">
        <v>2894</v>
      </c>
      <c r="R47" s="10"/>
      <c r="S47" s="25">
        <v>358.33</v>
      </c>
      <c r="T47" s="10">
        <v>9.101335</v>
      </c>
      <c r="U47" s="26">
        <v>3.1406</v>
      </c>
      <c r="V47" s="26">
        <v>234.064</v>
      </c>
      <c r="W47" s="27">
        <f t="shared" si="0"/>
        <v>1.34176977236995</v>
      </c>
      <c r="X47" s="27">
        <v>84330</v>
      </c>
      <c r="Y47" s="10">
        <v>41886.1</v>
      </c>
      <c r="Z47" s="10">
        <v>282</v>
      </c>
      <c r="AA47" s="10">
        <v>20903</v>
      </c>
      <c r="AB47" s="10"/>
    </row>
    <row r="48" ht="21" spans="1:28">
      <c r="A48" s="10">
        <v>2013</v>
      </c>
      <c r="B48" s="10">
        <v>440000</v>
      </c>
      <c r="C48" s="24" t="s">
        <v>43</v>
      </c>
      <c r="D48" s="10">
        <v>49890</v>
      </c>
      <c r="E48" s="10">
        <v>3325.2</v>
      </c>
      <c r="F48" s="10">
        <v>21.8854</v>
      </c>
      <c r="G48" s="10">
        <v>355.365</v>
      </c>
      <c r="H48" s="10">
        <v>2507.37</v>
      </c>
      <c r="I48" s="10">
        <v>53.596</v>
      </c>
      <c r="J48" s="10">
        <v>4906.38</v>
      </c>
      <c r="K48" s="10">
        <v>2176.09</v>
      </c>
      <c r="L48" s="10">
        <v>63.229</v>
      </c>
      <c r="M48" s="10">
        <v>7.70191</v>
      </c>
      <c r="N48" s="10">
        <v>10279</v>
      </c>
      <c r="O48" s="10">
        <v>26.084</v>
      </c>
      <c r="P48" s="10"/>
      <c r="Q48" s="10">
        <v>14706.1</v>
      </c>
      <c r="R48" s="10">
        <v>1571.11</v>
      </c>
      <c r="S48" s="25">
        <v>184.78</v>
      </c>
      <c r="T48" s="10">
        <v>57.67655</v>
      </c>
      <c r="U48" s="26">
        <v>33.2575</v>
      </c>
      <c r="V48" s="26">
        <v>1966.98</v>
      </c>
      <c r="W48" s="27">
        <f t="shared" si="0"/>
        <v>1.69078994194145</v>
      </c>
      <c r="X48" s="27">
        <v>200491</v>
      </c>
      <c r="Y48" s="10">
        <v>501718</v>
      </c>
      <c r="Z48" s="10">
        <v>3700</v>
      </c>
      <c r="AA48" s="10">
        <v>170430</v>
      </c>
      <c r="AB48" s="10"/>
    </row>
    <row r="49" ht="21" spans="1:28">
      <c r="A49" s="10">
        <v>2014</v>
      </c>
      <c r="B49" s="10">
        <v>440000</v>
      </c>
      <c r="C49" s="24" t="s">
        <v>43</v>
      </c>
      <c r="D49" s="10">
        <v>50649.5</v>
      </c>
      <c r="E49" s="10">
        <v>3597.68</v>
      </c>
      <c r="F49" s="10">
        <v>32.7</v>
      </c>
      <c r="G49" s="10">
        <v>390.491</v>
      </c>
      <c r="H49" s="10">
        <v>3187.09</v>
      </c>
      <c r="I49" s="10">
        <v>53.2787</v>
      </c>
      <c r="J49" s="10">
        <v>6018.69</v>
      </c>
      <c r="K49" s="10">
        <v>2493.54</v>
      </c>
      <c r="L49" s="10">
        <v>66.7645</v>
      </c>
      <c r="M49" s="10">
        <v>8.89991</v>
      </c>
      <c r="N49" s="10">
        <v>12992.6</v>
      </c>
      <c r="O49" s="10">
        <v>28.0047</v>
      </c>
      <c r="P49" s="10">
        <v>10412.8</v>
      </c>
      <c r="Q49" s="10">
        <v>14943.4</v>
      </c>
      <c r="R49" s="10">
        <v>1971.21</v>
      </c>
      <c r="S49" s="25">
        <v>201.53</v>
      </c>
      <c r="T49" s="10">
        <v>54.27912</v>
      </c>
      <c r="U49" s="26">
        <v>34.634</v>
      </c>
      <c r="V49" s="26">
        <v>1973.28</v>
      </c>
      <c r="W49" s="27">
        <f t="shared" si="0"/>
        <v>1.75514878780508</v>
      </c>
      <c r="X49" s="27">
        <v>211422</v>
      </c>
      <c r="Y49" s="10">
        <v>506862</v>
      </c>
      <c r="Z49" s="10">
        <v>3930</v>
      </c>
      <c r="AA49" s="10">
        <v>179953</v>
      </c>
      <c r="AB49" s="10"/>
    </row>
    <row r="50" ht="21" spans="1:28">
      <c r="A50" s="10">
        <v>2015</v>
      </c>
      <c r="B50" s="10">
        <v>440000</v>
      </c>
      <c r="C50" s="24" t="s">
        <v>43</v>
      </c>
      <c r="D50" s="10">
        <v>56136</v>
      </c>
      <c r="E50" s="10">
        <v>4765.46</v>
      </c>
      <c r="F50" s="10">
        <v>42.1861</v>
      </c>
      <c r="G50" s="10">
        <v>497.1</v>
      </c>
      <c r="H50" s="10"/>
      <c r="I50" s="10">
        <v>67.1</v>
      </c>
      <c r="J50" s="10">
        <v>7105.15</v>
      </c>
      <c r="K50" s="10">
        <v>3150.03</v>
      </c>
      <c r="L50" s="10">
        <v>67</v>
      </c>
      <c r="M50" s="10">
        <v>11.5</v>
      </c>
      <c r="N50" s="10">
        <v>13783.7</v>
      </c>
      <c r="O50" s="10">
        <v>29.8225</v>
      </c>
      <c r="P50" s="10">
        <v>10950.2</v>
      </c>
      <c r="Q50" s="10">
        <v>14479.7</v>
      </c>
      <c r="R50" s="10">
        <v>1487.43</v>
      </c>
      <c r="S50" s="25">
        <v>240.95</v>
      </c>
      <c r="T50" s="10">
        <v>74.93806</v>
      </c>
      <c r="U50" s="26">
        <v>35.312</v>
      </c>
      <c r="V50" s="26">
        <v>1948.04</v>
      </c>
      <c r="W50" s="27">
        <f t="shared" si="0"/>
        <v>1.81269378452188</v>
      </c>
      <c r="X50" s="27">
        <v>224145</v>
      </c>
      <c r="Y50" s="10">
        <v>501696</v>
      </c>
      <c r="Z50" s="10">
        <v>6553</v>
      </c>
      <c r="AA50" s="10">
        <v>241176</v>
      </c>
      <c r="AB50" s="10"/>
    </row>
    <row r="51" ht="21" spans="1:28">
      <c r="A51" s="10">
        <v>2016</v>
      </c>
      <c r="B51" s="10">
        <v>440000</v>
      </c>
      <c r="C51" s="24" t="s">
        <v>43</v>
      </c>
      <c r="D51" s="10">
        <v>58120.3</v>
      </c>
      <c r="E51" s="10">
        <v>6515.61</v>
      </c>
      <c r="F51" s="10">
        <v>48.9304</v>
      </c>
      <c r="G51" s="10">
        <v>556.573</v>
      </c>
      <c r="H51" s="10"/>
      <c r="I51" s="10">
        <v>72.8235</v>
      </c>
      <c r="J51" s="10">
        <v>8223.39</v>
      </c>
      <c r="K51" s="10">
        <v>1991.31</v>
      </c>
      <c r="L51" s="10">
        <v>65.8</v>
      </c>
      <c r="M51" s="10">
        <v>11.6</v>
      </c>
      <c r="N51" s="10">
        <v>17595.1</v>
      </c>
      <c r="O51" s="10">
        <v>31.8021</v>
      </c>
      <c r="P51" s="10">
        <v>11518.4</v>
      </c>
      <c r="Q51" s="10">
        <v>14349</v>
      </c>
      <c r="R51" s="10">
        <v>1755.87</v>
      </c>
      <c r="S51" s="25">
        <v>248</v>
      </c>
      <c r="T51" s="10">
        <v>144.4494</v>
      </c>
      <c r="U51" s="26">
        <v>43.5099</v>
      </c>
      <c r="V51" s="26">
        <v>1957.57</v>
      </c>
      <c r="W51" s="27">
        <f t="shared" si="0"/>
        <v>2.22264848766583</v>
      </c>
      <c r="X51" s="27">
        <v>233592</v>
      </c>
      <c r="Y51" s="10">
        <v>515649</v>
      </c>
      <c r="Z51" s="10">
        <v>11834</v>
      </c>
      <c r="AA51" s="10">
        <v>259032</v>
      </c>
      <c r="AB51" s="10"/>
    </row>
    <row r="52" ht="21" spans="1:28">
      <c r="A52" s="10">
        <v>2017</v>
      </c>
      <c r="B52" s="10">
        <v>440000</v>
      </c>
      <c r="C52" s="24" t="s">
        <v>43</v>
      </c>
      <c r="D52" s="10">
        <v>55187.7</v>
      </c>
      <c r="E52" s="10">
        <v>6482.33</v>
      </c>
      <c r="F52" s="10">
        <v>55.9284</v>
      </c>
      <c r="G52" s="10">
        <v>397.868</v>
      </c>
      <c r="H52" s="10">
        <v>3227.86</v>
      </c>
      <c r="I52" s="10">
        <v>77.7464</v>
      </c>
      <c r="J52" s="10">
        <v>9681.21</v>
      </c>
      <c r="K52" s="10">
        <v>3579.7</v>
      </c>
      <c r="L52" s="10">
        <v>64</v>
      </c>
      <c r="M52" s="10">
        <v>9.7</v>
      </c>
      <c r="N52" s="10">
        <v>23191.5</v>
      </c>
      <c r="O52" s="10">
        <v>34.1042</v>
      </c>
      <c r="P52" s="10">
        <v>14160.3</v>
      </c>
      <c r="Q52" s="10">
        <v>14796.2</v>
      </c>
      <c r="R52" s="10">
        <v>1691.66</v>
      </c>
      <c r="S52" s="25">
        <v>296.17</v>
      </c>
      <c r="T52" s="10">
        <v>232.7068</v>
      </c>
      <c r="U52" s="26">
        <v>49.8638</v>
      </c>
      <c r="V52" s="26">
        <v>1963.1</v>
      </c>
      <c r="W52" s="27">
        <f t="shared" si="0"/>
        <v>2.54005399623045</v>
      </c>
      <c r="X52" s="27">
        <v>245563</v>
      </c>
      <c r="Y52" s="10">
        <v>565287</v>
      </c>
      <c r="Z52" s="10">
        <v>20030</v>
      </c>
      <c r="AA52" s="10">
        <v>332652</v>
      </c>
      <c r="AB52" s="10"/>
    </row>
    <row r="53" ht="21" spans="1:28">
      <c r="A53" s="10">
        <v>2018</v>
      </c>
      <c r="B53" s="10">
        <v>440000</v>
      </c>
      <c r="C53" s="24" t="s">
        <v>43</v>
      </c>
      <c r="D53" s="10">
        <v>53954.6</v>
      </c>
      <c r="E53" s="10">
        <v>8149.07</v>
      </c>
      <c r="F53" s="10">
        <v>65.0583</v>
      </c>
      <c r="G53" s="10">
        <v>449.03</v>
      </c>
      <c r="H53" s="10">
        <v>3229.95</v>
      </c>
      <c r="I53" s="10">
        <v>72.7579</v>
      </c>
      <c r="J53" s="10">
        <v>10687.4</v>
      </c>
      <c r="K53" s="10">
        <v>7798.43</v>
      </c>
      <c r="L53" s="10">
        <v>60</v>
      </c>
      <c r="M53" s="10">
        <v>9.75715</v>
      </c>
      <c r="N53" s="10">
        <v>27829.9</v>
      </c>
      <c r="O53" s="10">
        <v>37.0074</v>
      </c>
      <c r="P53" s="10">
        <v>14106.9</v>
      </c>
      <c r="Q53" s="10">
        <v>16823.3</v>
      </c>
      <c r="R53" s="10">
        <v>1760.68</v>
      </c>
      <c r="S53" s="25">
        <v>331.92</v>
      </c>
      <c r="T53" s="10">
        <v>253.5417</v>
      </c>
      <c r="U53" s="26">
        <v>60.7831</v>
      </c>
      <c r="V53" s="26">
        <v>1994.14</v>
      </c>
      <c r="W53" s="27">
        <f t="shared" si="0"/>
        <v>3.04808589166257</v>
      </c>
      <c r="X53" s="27">
        <v>253961</v>
      </c>
      <c r="Y53" s="10">
        <v>762733</v>
      </c>
      <c r="Z53" s="10">
        <v>21740</v>
      </c>
      <c r="AA53" s="10">
        <v>478082</v>
      </c>
      <c r="AB53" s="10"/>
    </row>
    <row r="54" ht="21" spans="1:28">
      <c r="A54" s="10">
        <v>2019</v>
      </c>
      <c r="B54" s="10">
        <v>440000</v>
      </c>
      <c r="C54" s="24" t="s">
        <v>43</v>
      </c>
      <c r="D54" s="10">
        <v>58261.4</v>
      </c>
      <c r="E54" s="10">
        <v>8537.98</v>
      </c>
      <c r="F54" s="10">
        <v>75.839</v>
      </c>
      <c r="G54" s="10">
        <v>611.839</v>
      </c>
      <c r="H54" s="10">
        <v>3234.95</v>
      </c>
      <c r="I54" s="10">
        <v>67.0604</v>
      </c>
      <c r="J54" s="10">
        <v>11874.6</v>
      </c>
      <c r="K54" s="10">
        <v>12046.4</v>
      </c>
      <c r="L54" s="10">
        <v>59.3</v>
      </c>
      <c r="M54" s="10">
        <v>10.8</v>
      </c>
      <c r="N54" s="10">
        <v>30168.2</v>
      </c>
      <c r="O54" s="10">
        <v>40.3433</v>
      </c>
      <c r="P54" s="10">
        <v>14200.3</v>
      </c>
      <c r="Q54" s="10">
        <v>16533</v>
      </c>
      <c r="R54" s="10">
        <v>1705.31</v>
      </c>
      <c r="S54" s="25">
        <v>360.61</v>
      </c>
      <c r="T54" s="10">
        <v>311.6803</v>
      </c>
      <c r="U54" s="26">
        <v>66.2368</v>
      </c>
      <c r="V54" s="26">
        <v>2064.59</v>
      </c>
      <c r="W54" s="27">
        <f t="shared" si="0"/>
        <v>3.20823020551296</v>
      </c>
      <c r="X54" s="27">
        <v>267550</v>
      </c>
      <c r="Y54" s="10">
        <v>803208</v>
      </c>
      <c r="Z54" s="10">
        <v>25891</v>
      </c>
      <c r="AA54" s="10">
        <v>527390</v>
      </c>
      <c r="AB54" s="10"/>
    </row>
    <row r="55" ht="21" spans="1:28">
      <c r="A55" s="10">
        <v>2020</v>
      </c>
      <c r="B55" s="10">
        <v>440000</v>
      </c>
      <c r="C55" s="24" t="s">
        <v>43</v>
      </c>
      <c r="D55" s="10">
        <v>57751</v>
      </c>
      <c r="E55" s="10">
        <v>8653.2</v>
      </c>
      <c r="F55" s="10">
        <v>83.8</v>
      </c>
      <c r="G55" s="10">
        <v>534.7</v>
      </c>
      <c r="H55" s="10">
        <v>3250</v>
      </c>
      <c r="I55" s="10">
        <v>61.363</v>
      </c>
      <c r="J55" s="10">
        <v>13630.5</v>
      </c>
      <c r="K55" s="10">
        <v>15025.3</v>
      </c>
      <c r="L55" s="10">
        <v>57</v>
      </c>
      <c r="M55" s="10">
        <v>11.3</v>
      </c>
      <c r="N55" s="10">
        <v>30533.8</v>
      </c>
      <c r="O55" s="10">
        <v>43</v>
      </c>
      <c r="P55" s="10">
        <v>14251.4</v>
      </c>
      <c r="Q55" s="10">
        <v>15536.9</v>
      </c>
      <c r="R55" s="10">
        <v>1639.31</v>
      </c>
      <c r="S55" s="25">
        <v>379.53</v>
      </c>
      <c r="T55" s="10">
        <v>441.0297</v>
      </c>
      <c r="U55" s="26">
        <v>74.0446</v>
      </c>
      <c r="V55" s="26">
        <v>2085.27</v>
      </c>
      <c r="W55" s="27">
        <f t="shared" si="0"/>
        <v>3.55083993919253</v>
      </c>
      <c r="X55" s="27">
        <v>274415</v>
      </c>
      <c r="Y55" s="10">
        <v>872238</v>
      </c>
      <c r="Z55" s="10">
        <v>28262</v>
      </c>
      <c r="AA55" s="10">
        <v>709725</v>
      </c>
      <c r="AB55" s="10"/>
    </row>
    <row r="56" ht="21" spans="1:28">
      <c r="A56" s="10">
        <v>2021</v>
      </c>
      <c r="B56" s="10">
        <v>440000</v>
      </c>
      <c r="C56" s="24" t="s">
        <v>43</v>
      </c>
      <c r="D56" s="10">
        <v>57870.3</v>
      </c>
      <c r="E56" s="10">
        <v>9333.74</v>
      </c>
      <c r="F56" s="10">
        <v>90.4868</v>
      </c>
      <c r="G56" s="10">
        <v>496.71</v>
      </c>
      <c r="H56" s="10">
        <v>3234.72</v>
      </c>
      <c r="I56" s="10">
        <v>68.23</v>
      </c>
      <c r="J56" s="10">
        <v>15735.8</v>
      </c>
      <c r="K56" s="10">
        <v>1932.37</v>
      </c>
      <c r="L56" s="10">
        <v>55.1</v>
      </c>
      <c r="M56" s="10">
        <v>11.3</v>
      </c>
      <c r="N56" s="10">
        <v>37886.1</v>
      </c>
      <c r="O56" s="10">
        <v>43.1473</v>
      </c>
      <c r="P56" s="10">
        <v>15070.3</v>
      </c>
      <c r="Q56" s="10">
        <v>16267.8</v>
      </c>
      <c r="R56" s="10">
        <v>1642.01</v>
      </c>
      <c r="S56" s="25">
        <v>398.84</v>
      </c>
      <c r="T56" s="10">
        <v>408.4467</v>
      </c>
      <c r="U56" s="26">
        <v>80.5726</v>
      </c>
      <c r="V56" s="26">
        <v>2110.88</v>
      </c>
      <c r="W56" s="27">
        <f t="shared" si="0"/>
        <v>3.81701470476768</v>
      </c>
      <c r="X56" s="27">
        <v>282227</v>
      </c>
      <c r="Y56" s="10">
        <v>885248</v>
      </c>
      <c r="Z56" s="28">
        <v>32938</v>
      </c>
      <c r="AA56" s="10">
        <v>872209</v>
      </c>
      <c r="AB56" s="10"/>
    </row>
    <row r="57" ht="21" spans="1:28">
      <c r="A57" s="10">
        <v>2022</v>
      </c>
      <c r="B57" s="10">
        <v>440000</v>
      </c>
      <c r="C57" s="24" t="s">
        <v>43</v>
      </c>
      <c r="D57" s="10">
        <v>62060.4</v>
      </c>
      <c r="E57" s="10">
        <v>9892.21</v>
      </c>
      <c r="F57" s="10">
        <v>98.9391</v>
      </c>
      <c r="G57" s="10">
        <v>543.845</v>
      </c>
      <c r="H57" s="10">
        <v>3274.39</v>
      </c>
      <c r="I57" s="10">
        <v>60.6842</v>
      </c>
      <c r="J57" s="10">
        <v>17612.9</v>
      </c>
      <c r="K57" s="10">
        <v>1950.26</v>
      </c>
      <c r="L57" s="10">
        <v>48.8</v>
      </c>
      <c r="M57" s="10">
        <v>11.7565</v>
      </c>
      <c r="N57" s="10">
        <v>47419.7</v>
      </c>
      <c r="O57" s="10">
        <v>45.0504</v>
      </c>
      <c r="P57" s="10">
        <v>15097.3</v>
      </c>
      <c r="Q57" s="10">
        <v>16650.8</v>
      </c>
      <c r="R57" s="10">
        <v>1476.91</v>
      </c>
      <c r="S57" s="25">
        <v>418.34</v>
      </c>
      <c r="T57" s="10">
        <v>396.6691</v>
      </c>
      <c r="U57" s="26">
        <v>83.9029</v>
      </c>
      <c r="V57" s="26">
        <v>2066.65</v>
      </c>
      <c r="W57" s="27">
        <f t="shared" si="0"/>
        <v>4.05985048266518</v>
      </c>
      <c r="X57" s="27">
        <v>321023</v>
      </c>
      <c r="Y57" s="10">
        <v>972492</v>
      </c>
      <c r="Z57" s="10">
        <v>32434</v>
      </c>
      <c r="AA57" s="10">
        <v>837276</v>
      </c>
      <c r="AB57" s="10"/>
    </row>
    <row r="58" ht="21" spans="1:28">
      <c r="A58" s="10">
        <v>2023</v>
      </c>
      <c r="B58" s="10">
        <v>440000</v>
      </c>
      <c r="C58" s="24" t="s">
        <v>43</v>
      </c>
      <c r="D58" s="10">
        <v>66124</v>
      </c>
      <c r="E58" s="10">
        <v>10395.2</v>
      </c>
      <c r="F58" s="10">
        <v>102.4</v>
      </c>
      <c r="G58" s="10">
        <v>769.3</v>
      </c>
      <c r="H58" s="10">
        <v>3235.7</v>
      </c>
      <c r="I58" s="10">
        <v>58.4482</v>
      </c>
      <c r="J58" s="10">
        <v>20428.9</v>
      </c>
      <c r="K58" s="10">
        <v>2024.09</v>
      </c>
      <c r="L58" s="10">
        <v>47.9093</v>
      </c>
      <c r="M58" s="10">
        <v>14.3341</v>
      </c>
      <c r="N58" s="10">
        <v>53154</v>
      </c>
      <c r="O58" s="10">
        <v>45.2186</v>
      </c>
      <c r="P58" s="10">
        <v>15814.7</v>
      </c>
      <c r="Q58" s="10">
        <v>17237.3</v>
      </c>
      <c r="R58" s="10"/>
      <c r="S58" s="25">
        <v>438.67</v>
      </c>
      <c r="T58" s="10">
        <v>383.5086</v>
      </c>
      <c r="U58" s="26">
        <v>81.5521</v>
      </c>
      <c r="V58" s="26">
        <v>1990</v>
      </c>
      <c r="W58" s="27">
        <f t="shared" si="0"/>
        <v>4.09809547738693</v>
      </c>
      <c r="X58" s="27">
        <v>335726</v>
      </c>
      <c r="Y58" s="10">
        <v>1200000</v>
      </c>
      <c r="Z58" s="10">
        <v>32372</v>
      </c>
      <c r="AA58" s="10">
        <v>703695</v>
      </c>
      <c r="AB58" s="10"/>
    </row>
    <row r="59" ht="41" spans="1:28">
      <c r="A59" s="10">
        <v>2013</v>
      </c>
      <c r="B59" s="10">
        <v>450000</v>
      </c>
      <c r="C59" s="24" t="s">
        <v>44</v>
      </c>
      <c r="D59" s="10">
        <v>37891</v>
      </c>
      <c r="E59" s="10">
        <v>978.8</v>
      </c>
      <c r="F59" s="10">
        <v>7.2888</v>
      </c>
      <c r="G59" s="10">
        <v>9.2273</v>
      </c>
      <c r="H59" s="10">
        <v>344.986</v>
      </c>
      <c r="I59" s="10">
        <v>2.4966</v>
      </c>
      <c r="J59" s="10">
        <v>75.4924</v>
      </c>
      <c r="K59" s="10">
        <v>405.697</v>
      </c>
      <c r="L59" s="10">
        <v>45.825</v>
      </c>
      <c r="M59" s="10">
        <v>3.74598</v>
      </c>
      <c r="N59" s="10">
        <v>544.536</v>
      </c>
      <c r="O59" s="10">
        <v>16.718</v>
      </c>
      <c r="P59" s="10">
        <v>2202.7</v>
      </c>
      <c r="Q59" s="10">
        <v>3285.6</v>
      </c>
      <c r="R59" s="10">
        <v>370.73</v>
      </c>
      <c r="S59" s="25">
        <v>141.46</v>
      </c>
      <c r="T59" s="10">
        <v>1.389145</v>
      </c>
      <c r="U59" s="26">
        <v>5.236</v>
      </c>
      <c r="V59" s="26">
        <v>402.994</v>
      </c>
      <c r="W59" s="27">
        <f t="shared" si="0"/>
        <v>1.29927492717013</v>
      </c>
      <c r="X59" s="27">
        <v>65083</v>
      </c>
      <c r="Y59" s="10">
        <v>40663.5</v>
      </c>
      <c r="Z59" s="10">
        <v>447</v>
      </c>
      <c r="AA59" s="10">
        <v>7884</v>
      </c>
      <c r="AB59" s="10"/>
    </row>
    <row r="60" ht="41" spans="1:28">
      <c r="A60" s="10">
        <v>2014</v>
      </c>
      <c r="B60" s="10">
        <v>450000</v>
      </c>
      <c r="C60" s="24" t="s">
        <v>44</v>
      </c>
      <c r="D60" s="10">
        <v>38472.2</v>
      </c>
      <c r="E60" s="10">
        <v>1126.16</v>
      </c>
      <c r="F60" s="10">
        <v>9.9</v>
      </c>
      <c r="G60" s="10">
        <v>26.433</v>
      </c>
      <c r="H60" s="10">
        <v>464.784</v>
      </c>
      <c r="I60" s="10">
        <v>2.5454</v>
      </c>
      <c r="J60" s="10">
        <v>75.6626</v>
      </c>
      <c r="K60" s="10">
        <v>465.87</v>
      </c>
      <c r="L60" s="10">
        <v>40.9747</v>
      </c>
      <c r="M60" s="10">
        <v>6.38845</v>
      </c>
      <c r="N60" s="10">
        <v>701.495</v>
      </c>
      <c r="O60" s="10">
        <v>18.8111</v>
      </c>
      <c r="P60" s="10">
        <v>2586.52</v>
      </c>
      <c r="Q60" s="10">
        <v>3553.78</v>
      </c>
      <c r="R60" s="10">
        <v>429.032</v>
      </c>
      <c r="S60" s="25">
        <v>166.12</v>
      </c>
      <c r="T60" s="10">
        <v>1.93592</v>
      </c>
      <c r="U60" s="26">
        <v>4.458</v>
      </c>
      <c r="V60" s="26">
        <v>401.458</v>
      </c>
      <c r="W60" s="27">
        <f t="shared" si="0"/>
        <v>1.11045240099836</v>
      </c>
      <c r="X60" s="27">
        <v>70983</v>
      </c>
      <c r="Y60" s="10">
        <v>41208</v>
      </c>
      <c r="Z60" s="10">
        <v>421</v>
      </c>
      <c r="AA60" s="10">
        <v>9664</v>
      </c>
      <c r="AB60" s="10"/>
    </row>
    <row r="61" ht="41" spans="1:28">
      <c r="A61" s="10">
        <v>2015</v>
      </c>
      <c r="B61" s="10">
        <v>450000</v>
      </c>
      <c r="C61" s="24" t="s">
        <v>44</v>
      </c>
      <c r="D61" s="10">
        <v>38953</v>
      </c>
      <c r="E61" s="10">
        <v>1530.91</v>
      </c>
      <c r="F61" s="10">
        <v>13.7569</v>
      </c>
      <c r="G61" s="10">
        <v>37.6</v>
      </c>
      <c r="H61" s="10"/>
      <c r="I61" s="10">
        <v>3.7</v>
      </c>
      <c r="J61" s="10">
        <v>74.7207</v>
      </c>
      <c r="K61" s="10">
        <v>607.89</v>
      </c>
      <c r="L61" s="10">
        <v>16</v>
      </c>
      <c r="M61" s="10">
        <v>8.4</v>
      </c>
      <c r="N61" s="10">
        <v>918.804</v>
      </c>
      <c r="O61" s="10">
        <v>19.4231</v>
      </c>
      <c r="P61" s="10">
        <v>2798.3</v>
      </c>
      <c r="Q61" s="10">
        <v>3594.88</v>
      </c>
      <c r="R61" s="10">
        <v>479.914</v>
      </c>
      <c r="S61" s="25">
        <v>207.23</v>
      </c>
      <c r="T61" s="10">
        <v>3.124271</v>
      </c>
      <c r="U61" s="26">
        <v>4.3516</v>
      </c>
      <c r="V61" s="26">
        <v>405.411</v>
      </c>
      <c r="W61" s="27">
        <f t="shared" si="0"/>
        <v>1.07337985402468</v>
      </c>
      <c r="X61" s="27">
        <v>76807</v>
      </c>
      <c r="Y61" s="10">
        <v>38269.1</v>
      </c>
      <c r="Z61" s="10">
        <v>367</v>
      </c>
      <c r="AA61" s="10">
        <v>13573</v>
      </c>
      <c r="AB61" s="10"/>
    </row>
    <row r="62" ht="41" spans="1:28">
      <c r="A62" s="10">
        <v>2016</v>
      </c>
      <c r="B62" s="10">
        <v>450000</v>
      </c>
      <c r="C62" s="24" t="s">
        <v>44</v>
      </c>
      <c r="D62" s="10">
        <v>38877.2</v>
      </c>
      <c r="E62" s="10">
        <v>2094.87</v>
      </c>
      <c r="F62" s="10">
        <v>15.5988</v>
      </c>
      <c r="G62" s="10">
        <v>52.2256</v>
      </c>
      <c r="H62" s="10"/>
      <c r="I62" s="10">
        <v>4.3281</v>
      </c>
      <c r="J62" s="10">
        <v>72.9215</v>
      </c>
      <c r="K62" s="10">
        <v>388.96</v>
      </c>
      <c r="L62" s="10">
        <v>14.7</v>
      </c>
      <c r="M62" s="10">
        <v>11</v>
      </c>
      <c r="N62" s="10">
        <v>970.883</v>
      </c>
      <c r="O62" s="10">
        <v>20.5998</v>
      </c>
      <c r="P62" s="10">
        <v>3163.9</v>
      </c>
      <c r="Q62" s="10">
        <v>3774.15</v>
      </c>
      <c r="R62" s="10">
        <v>510.47</v>
      </c>
      <c r="S62" s="25">
        <v>223.32</v>
      </c>
      <c r="T62" s="10">
        <v>7.094801</v>
      </c>
      <c r="U62" s="26">
        <v>4.2259</v>
      </c>
      <c r="V62" s="26">
        <v>401.389</v>
      </c>
      <c r="W62" s="27">
        <f t="shared" si="0"/>
        <v>1.05281908572482</v>
      </c>
      <c r="X62" s="27">
        <v>82517</v>
      </c>
      <c r="Y62" s="10">
        <v>39902.8</v>
      </c>
      <c r="Z62" s="10">
        <v>324</v>
      </c>
      <c r="AA62" s="10">
        <v>14858</v>
      </c>
      <c r="AB62" s="10"/>
    </row>
    <row r="63" ht="41" spans="1:28">
      <c r="A63" s="10">
        <v>2017</v>
      </c>
      <c r="B63" s="10">
        <v>450000</v>
      </c>
      <c r="C63" s="24" t="s">
        <v>44</v>
      </c>
      <c r="D63" s="10">
        <v>39216</v>
      </c>
      <c r="E63" s="10">
        <v>2216.39</v>
      </c>
      <c r="F63" s="10">
        <v>17.7936</v>
      </c>
      <c r="G63" s="10">
        <v>52.8885</v>
      </c>
      <c r="H63" s="10">
        <v>467.412</v>
      </c>
      <c r="I63" s="10">
        <v>5.0333</v>
      </c>
      <c r="J63" s="10">
        <v>81.349</v>
      </c>
      <c r="K63" s="10">
        <v>711.649</v>
      </c>
      <c r="L63" s="10">
        <v>21</v>
      </c>
      <c r="M63" s="10">
        <v>8.9</v>
      </c>
      <c r="N63" s="10">
        <v>970.984</v>
      </c>
      <c r="O63" s="10">
        <v>20.4638</v>
      </c>
      <c r="P63" s="10">
        <v>3713.35</v>
      </c>
      <c r="Q63" s="10">
        <v>4385.08</v>
      </c>
      <c r="R63" s="10">
        <v>533.23</v>
      </c>
      <c r="S63" s="25">
        <v>261.94</v>
      </c>
      <c r="T63" s="10">
        <v>8.461966</v>
      </c>
      <c r="U63" s="26">
        <v>4.0165</v>
      </c>
      <c r="V63" s="26">
        <v>398.026</v>
      </c>
      <c r="W63" s="27">
        <f t="shared" si="0"/>
        <v>1.00910493284358</v>
      </c>
      <c r="X63" s="27">
        <v>88932</v>
      </c>
      <c r="Y63" s="10">
        <v>36857</v>
      </c>
      <c r="Z63" s="10">
        <v>305</v>
      </c>
      <c r="AA63" s="10">
        <v>15270</v>
      </c>
      <c r="AB63" s="10"/>
    </row>
    <row r="64" ht="41" spans="1:28">
      <c r="A64" s="10">
        <v>2018</v>
      </c>
      <c r="B64" s="10">
        <v>450000</v>
      </c>
      <c r="C64" s="24" t="s">
        <v>44</v>
      </c>
      <c r="D64" s="10">
        <v>39724.6</v>
      </c>
      <c r="E64" s="10">
        <v>2760.11</v>
      </c>
      <c r="F64" s="10">
        <v>18.8426</v>
      </c>
      <c r="G64" s="10">
        <v>52.6716</v>
      </c>
      <c r="H64" s="10">
        <v>467.716</v>
      </c>
      <c r="I64" s="10">
        <v>5.2818</v>
      </c>
      <c r="J64" s="10">
        <v>152.485</v>
      </c>
      <c r="K64" s="10">
        <v>2053.66</v>
      </c>
      <c r="L64" s="10">
        <v>24</v>
      </c>
      <c r="M64" s="10">
        <v>8.85161</v>
      </c>
      <c r="N64" s="10">
        <v>1168.16</v>
      </c>
      <c r="O64" s="10">
        <v>23.5308</v>
      </c>
      <c r="P64" s="10">
        <v>4130.82</v>
      </c>
      <c r="Q64" s="10">
        <v>5045.33</v>
      </c>
      <c r="R64" s="10">
        <v>605.68</v>
      </c>
      <c r="S64" s="25">
        <v>289.25</v>
      </c>
      <c r="T64" s="10">
        <v>7.256698</v>
      </c>
      <c r="U64" s="26">
        <v>4.9399</v>
      </c>
      <c r="V64" s="26">
        <v>386.78</v>
      </c>
      <c r="W64" s="27">
        <f t="shared" si="0"/>
        <v>1.27718599720771</v>
      </c>
      <c r="X64" s="27">
        <v>97498</v>
      </c>
      <c r="Y64" s="10">
        <v>39961.4</v>
      </c>
      <c r="Z64" s="10">
        <v>271</v>
      </c>
      <c r="AA64" s="10">
        <v>20551</v>
      </c>
      <c r="AB64" s="10"/>
    </row>
    <row r="65" ht="41" spans="1:28">
      <c r="A65" s="10">
        <v>2019</v>
      </c>
      <c r="B65" s="10">
        <v>450000</v>
      </c>
      <c r="C65" s="24" t="s">
        <v>44</v>
      </c>
      <c r="D65" s="10">
        <v>40334.9</v>
      </c>
      <c r="E65" s="10">
        <v>3022.98</v>
      </c>
      <c r="F65" s="10">
        <v>24.5184</v>
      </c>
      <c r="G65" s="10">
        <v>125.263</v>
      </c>
      <c r="H65" s="10">
        <v>467.948</v>
      </c>
      <c r="I65" s="10">
        <v>5.174</v>
      </c>
      <c r="J65" s="10">
        <v>407.378</v>
      </c>
      <c r="K65" s="10">
        <v>3587.75</v>
      </c>
      <c r="L65" s="10">
        <v>24.5</v>
      </c>
      <c r="M65" s="10">
        <v>9.5</v>
      </c>
      <c r="N65" s="10">
        <v>1586.5</v>
      </c>
      <c r="O65" s="10">
        <v>26.6873</v>
      </c>
      <c r="P65" s="10">
        <v>4450.21</v>
      </c>
      <c r="Q65" s="10">
        <v>5127.45</v>
      </c>
      <c r="R65" s="10">
        <v>660.81</v>
      </c>
      <c r="S65" s="25">
        <v>309.91</v>
      </c>
      <c r="T65" s="10">
        <v>8.854346</v>
      </c>
      <c r="U65" s="26">
        <v>4.5243</v>
      </c>
      <c r="V65" s="26">
        <v>404.116</v>
      </c>
      <c r="W65" s="27">
        <f t="shared" si="0"/>
        <v>1.11955478130042</v>
      </c>
      <c r="X65" s="27">
        <v>108080</v>
      </c>
      <c r="Y65" s="10">
        <v>47420.1</v>
      </c>
      <c r="Z65" s="10">
        <v>323</v>
      </c>
      <c r="AA65" s="10">
        <v>22687</v>
      </c>
      <c r="AB65" s="10"/>
    </row>
    <row r="66" ht="41" spans="1:28">
      <c r="A66" s="10">
        <v>2020</v>
      </c>
      <c r="B66" s="10">
        <v>450000</v>
      </c>
      <c r="C66" s="24" t="s">
        <v>44</v>
      </c>
      <c r="D66" s="10">
        <v>41543</v>
      </c>
      <c r="E66" s="10">
        <v>3356.2</v>
      </c>
      <c r="F66" s="10">
        <v>27.1</v>
      </c>
      <c r="G66" s="10">
        <v>112.1</v>
      </c>
      <c r="H66" s="10">
        <v>470.1</v>
      </c>
      <c r="I66" s="10">
        <v>5.0662</v>
      </c>
      <c r="J66" s="10">
        <v>546.38</v>
      </c>
      <c r="K66" s="10">
        <v>4826.86</v>
      </c>
      <c r="L66" s="10">
        <v>27</v>
      </c>
      <c r="M66" s="10">
        <v>10.1</v>
      </c>
      <c r="N66" s="10">
        <v>2116.5</v>
      </c>
      <c r="O66" s="10">
        <v>29</v>
      </c>
      <c r="P66" s="10">
        <v>4799.3</v>
      </c>
      <c r="Q66" s="10">
        <v>5332.9</v>
      </c>
      <c r="R66" s="10">
        <v>734</v>
      </c>
      <c r="S66" s="25">
        <v>325.17</v>
      </c>
      <c r="T66" s="10">
        <v>16.69004</v>
      </c>
      <c r="U66" s="26">
        <v>5.8552</v>
      </c>
      <c r="V66" s="26">
        <v>410.366</v>
      </c>
      <c r="W66" s="27">
        <f t="shared" si="0"/>
        <v>1.42682385967648</v>
      </c>
      <c r="X66" s="27">
        <v>119756</v>
      </c>
      <c r="Y66" s="10">
        <v>45820.7</v>
      </c>
      <c r="Z66" s="10">
        <v>453</v>
      </c>
      <c r="AA66" s="10">
        <v>34470</v>
      </c>
      <c r="AB66" s="10"/>
    </row>
    <row r="67" ht="41" spans="1:28">
      <c r="A67" s="10">
        <v>2021</v>
      </c>
      <c r="B67" s="10">
        <v>450000</v>
      </c>
      <c r="C67" s="24" t="s">
        <v>44</v>
      </c>
      <c r="D67" s="10">
        <v>43675.6</v>
      </c>
      <c r="E67" s="10">
        <v>3579.17</v>
      </c>
      <c r="F67" s="10">
        <v>30.0004</v>
      </c>
      <c r="G67" s="10">
        <v>66.3104</v>
      </c>
      <c r="H67" s="10">
        <v>467.042</v>
      </c>
      <c r="I67" s="10">
        <v>5.5238</v>
      </c>
      <c r="J67" s="10">
        <v>695.722</v>
      </c>
      <c r="K67" s="10">
        <v>536.25</v>
      </c>
      <c r="L67" s="10">
        <v>28.2</v>
      </c>
      <c r="M67" s="10">
        <v>9.8</v>
      </c>
      <c r="N67" s="10">
        <v>2616.56</v>
      </c>
      <c r="O67" s="10">
        <v>29.8046</v>
      </c>
      <c r="P67" s="10">
        <v>5011.41</v>
      </c>
      <c r="Q67" s="10">
        <v>5511.39</v>
      </c>
      <c r="R67" s="10">
        <v>780.57</v>
      </c>
      <c r="S67" s="25">
        <v>340.66</v>
      </c>
      <c r="T67" s="10">
        <v>15.55526</v>
      </c>
      <c r="U67" s="26">
        <v>5.8688</v>
      </c>
      <c r="V67" s="26">
        <v>410.291</v>
      </c>
      <c r="W67" s="27">
        <f t="shared" si="0"/>
        <v>1.43039939945063</v>
      </c>
      <c r="X67" s="27">
        <v>129050</v>
      </c>
      <c r="Y67" s="10">
        <v>55821.4</v>
      </c>
      <c r="Z67" s="10">
        <v>697</v>
      </c>
      <c r="AA67" s="10">
        <v>46804</v>
      </c>
      <c r="AB67" s="10"/>
    </row>
    <row r="68" ht="41" spans="1:28">
      <c r="A68" s="10">
        <v>2022</v>
      </c>
      <c r="B68" s="10">
        <v>450000</v>
      </c>
      <c r="C68" s="24" t="s">
        <v>44</v>
      </c>
      <c r="D68" s="10">
        <v>45746.6</v>
      </c>
      <c r="E68" s="10">
        <v>3836.05</v>
      </c>
      <c r="F68" s="10">
        <v>32.2195</v>
      </c>
      <c r="G68" s="10">
        <v>54.1066</v>
      </c>
      <c r="H68" s="10">
        <v>473.654</v>
      </c>
      <c r="I68" s="10">
        <v>5.5638</v>
      </c>
      <c r="J68" s="10">
        <v>819.65</v>
      </c>
      <c r="K68" s="10">
        <v>531.26</v>
      </c>
      <c r="L68" s="10">
        <v>25.7</v>
      </c>
      <c r="M68" s="10">
        <v>8.69663</v>
      </c>
      <c r="N68" s="10">
        <v>3703.84</v>
      </c>
      <c r="O68" s="10">
        <v>30.8479</v>
      </c>
      <c r="P68" s="10">
        <v>5177.85</v>
      </c>
      <c r="Q68" s="10">
        <v>5805.27</v>
      </c>
      <c r="R68" s="10">
        <v>782.453</v>
      </c>
      <c r="S68" s="25">
        <v>357.15</v>
      </c>
      <c r="T68" s="10">
        <v>15.65469</v>
      </c>
      <c r="U68" s="26">
        <v>5.7419</v>
      </c>
      <c r="V68" s="26">
        <v>395.81</v>
      </c>
      <c r="W68" s="27">
        <f t="shared" ref="W68:W131" si="1">(U68/V68)*100</f>
        <v>1.45067077638261</v>
      </c>
      <c r="X68" s="27">
        <v>145464</v>
      </c>
      <c r="Y68" s="10">
        <v>70397.6</v>
      </c>
      <c r="Z68" s="10">
        <v>807</v>
      </c>
      <c r="AA68" s="10">
        <v>44691</v>
      </c>
      <c r="AB68" s="10"/>
    </row>
    <row r="69" ht="41" spans="1:28">
      <c r="A69" s="10">
        <v>2023</v>
      </c>
      <c r="B69" s="10">
        <v>450000</v>
      </c>
      <c r="C69" s="24" t="s">
        <v>44</v>
      </c>
      <c r="D69" s="10">
        <v>45392</v>
      </c>
      <c r="E69" s="10">
        <v>4099.3</v>
      </c>
      <c r="F69" s="10">
        <v>35.5</v>
      </c>
      <c r="G69" s="10">
        <v>52.6</v>
      </c>
      <c r="H69" s="10">
        <v>466.655</v>
      </c>
      <c r="I69" s="10">
        <v>5.8661</v>
      </c>
      <c r="J69" s="10">
        <v>567.05</v>
      </c>
      <c r="K69" s="10">
        <v>528.37</v>
      </c>
      <c r="L69" s="10">
        <v>26.9509</v>
      </c>
      <c r="M69" s="10">
        <v>12.453</v>
      </c>
      <c r="N69" s="10">
        <v>4022.65</v>
      </c>
      <c r="O69" s="10">
        <v>35.4606</v>
      </c>
      <c r="P69" s="10">
        <v>5450.6</v>
      </c>
      <c r="Q69" s="10">
        <v>6121.8</v>
      </c>
      <c r="R69" s="10"/>
      <c r="S69" s="25">
        <v>374.14</v>
      </c>
      <c r="T69" s="10">
        <v>17.36234</v>
      </c>
      <c r="U69" s="26">
        <v>6.899</v>
      </c>
      <c r="V69" s="26">
        <v>390.754</v>
      </c>
      <c r="W69" s="27">
        <f t="shared" si="1"/>
        <v>1.76556094115479</v>
      </c>
      <c r="X69" s="27">
        <v>158726</v>
      </c>
      <c r="Y69" s="10">
        <v>67626.2</v>
      </c>
      <c r="Z69" s="10">
        <v>791</v>
      </c>
      <c r="AA69" s="10">
        <v>34115</v>
      </c>
      <c r="AB69" s="10"/>
    </row>
    <row r="70" ht="21" spans="1:28">
      <c r="A70" s="10">
        <v>2013</v>
      </c>
      <c r="B70" s="10">
        <v>520000</v>
      </c>
      <c r="C70" s="24" t="s">
        <v>45</v>
      </c>
      <c r="D70" s="10">
        <v>35097</v>
      </c>
      <c r="E70" s="10">
        <v>494.2</v>
      </c>
      <c r="F70" s="10">
        <v>6.3899</v>
      </c>
      <c r="G70" s="10">
        <v>4.2906</v>
      </c>
      <c r="H70" s="10">
        <v>169.267</v>
      </c>
      <c r="I70" s="10">
        <v>0.9642</v>
      </c>
      <c r="J70" s="10">
        <v>70.7286</v>
      </c>
      <c r="K70" s="10">
        <v>309.126</v>
      </c>
      <c r="L70" s="10">
        <v>42.8173</v>
      </c>
      <c r="M70" s="10">
        <v>3.04658</v>
      </c>
      <c r="N70" s="10">
        <v>667.507</v>
      </c>
      <c r="O70" s="10">
        <v>19.5762</v>
      </c>
      <c r="P70" s="10"/>
      <c r="Q70" s="10">
        <v>2662.6</v>
      </c>
      <c r="R70" s="10">
        <v>394.28</v>
      </c>
      <c r="S70" s="25">
        <v>121.22</v>
      </c>
      <c r="T70" s="10">
        <v>0.6227973</v>
      </c>
      <c r="U70" s="26">
        <v>3.3507</v>
      </c>
      <c r="V70" s="26">
        <v>296.715</v>
      </c>
      <c r="W70" s="27">
        <f t="shared" si="1"/>
        <v>1.12926545675143</v>
      </c>
      <c r="X70" s="27">
        <v>43091</v>
      </c>
      <c r="Y70" s="10">
        <v>23887.5</v>
      </c>
      <c r="Z70" s="10">
        <v>165</v>
      </c>
      <c r="AA70" s="10">
        <v>7915</v>
      </c>
      <c r="AB70" s="10"/>
    </row>
    <row r="71" ht="21" spans="1:28">
      <c r="A71" s="10">
        <v>2014</v>
      </c>
      <c r="B71" s="10">
        <v>520000</v>
      </c>
      <c r="C71" s="24" t="s">
        <v>45</v>
      </c>
      <c r="D71" s="10">
        <v>36251.9</v>
      </c>
      <c r="E71" s="10">
        <v>580.63</v>
      </c>
      <c r="F71" s="10">
        <v>8.5</v>
      </c>
      <c r="G71" s="10">
        <v>8.6004</v>
      </c>
      <c r="H71" s="10">
        <v>146.075</v>
      </c>
      <c r="I71" s="10">
        <v>0.9809</v>
      </c>
      <c r="J71" s="10">
        <v>88.5739</v>
      </c>
      <c r="K71" s="10">
        <v>353.92</v>
      </c>
      <c r="L71" s="10">
        <v>47.8787</v>
      </c>
      <c r="M71" s="10">
        <v>4.90007</v>
      </c>
      <c r="N71" s="10">
        <v>860.469</v>
      </c>
      <c r="O71" s="10">
        <v>22.1073</v>
      </c>
      <c r="P71" s="10">
        <v>2004.79</v>
      </c>
      <c r="Q71" s="10">
        <v>2885.34</v>
      </c>
      <c r="R71" s="10">
        <v>386.175</v>
      </c>
      <c r="S71" s="25">
        <v>154.62</v>
      </c>
      <c r="T71" s="10">
        <v>0.8232374</v>
      </c>
      <c r="U71" s="26">
        <v>3.2921</v>
      </c>
      <c r="V71" s="26">
        <v>304.747</v>
      </c>
      <c r="W71" s="27">
        <f t="shared" si="1"/>
        <v>1.08027314460848</v>
      </c>
      <c r="X71" s="27">
        <v>51173</v>
      </c>
      <c r="Y71" s="10">
        <v>23969</v>
      </c>
      <c r="Z71" s="10">
        <v>224</v>
      </c>
      <c r="AA71" s="10">
        <v>10107</v>
      </c>
      <c r="AB71" s="10"/>
    </row>
    <row r="72" ht="21" spans="1:28">
      <c r="A72" s="10">
        <v>2015</v>
      </c>
      <c r="B72" s="10">
        <v>520000</v>
      </c>
      <c r="C72" s="24" t="s">
        <v>45</v>
      </c>
      <c r="D72" s="10">
        <v>35562</v>
      </c>
      <c r="E72" s="10">
        <v>875.75</v>
      </c>
      <c r="F72" s="10">
        <v>11.9589</v>
      </c>
      <c r="G72" s="10">
        <v>13.6</v>
      </c>
      <c r="H72" s="10"/>
      <c r="I72" s="10">
        <v>1.3</v>
      </c>
      <c r="J72" s="10">
        <v>110.242</v>
      </c>
      <c r="K72" s="10">
        <v>481.39</v>
      </c>
      <c r="L72" s="10">
        <v>42</v>
      </c>
      <c r="M72" s="10">
        <v>8.9</v>
      </c>
      <c r="N72" s="10">
        <v>1018.84</v>
      </c>
      <c r="O72" s="10">
        <v>23</v>
      </c>
      <c r="P72" s="10">
        <v>2212.34</v>
      </c>
      <c r="Q72" s="10">
        <v>2941.5</v>
      </c>
      <c r="R72" s="10">
        <v>421.918</v>
      </c>
      <c r="S72" s="25">
        <v>193.29</v>
      </c>
      <c r="T72" s="10">
        <v>1.078314</v>
      </c>
      <c r="U72" s="26">
        <v>3.2588</v>
      </c>
      <c r="V72" s="26">
        <v>307.474</v>
      </c>
      <c r="W72" s="27">
        <f t="shared" si="1"/>
        <v>1.05986197206918</v>
      </c>
      <c r="X72" s="27">
        <v>57994</v>
      </c>
      <c r="Y72" s="10">
        <v>23536.7</v>
      </c>
      <c r="Z72" s="10">
        <v>242</v>
      </c>
      <c r="AA72" s="10">
        <v>14115</v>
      </c>
      <c r="AB72" s="10"/>
    </row>
    <row r="73" ht="21" spans="1:28">
      <c r="A73" s="10">
        <v>2016</v>
      </c>
      <c r="B73" s="10">
        <v>520000</v>
      </c>
      <c r="C73" s="24" t="s">
        <v>45</v>
      </c>
      <c r="D73" s="10">
        <v>36500</v>
      </c>
      <c r="E73" s="10">
        <v>1113.93</v>
      </c>
      <c r="F73" s="10">
        <v>16.6382</v>
      </c>
      <c r="G73" s="10">
        <v>18.811</v>
      </c>
      <c r="H73" s="10"/>
      <c r="I73" s="10">
        <v>1.5491</v>
      </c>
      <c r="J73" s="10">
        <v>127.833</v>
      </c>
      <c r="K73" s="10">
        <v>336.23</v>
      </c>
      <c r="L73" s="10">
        <v>44.5</v>
      </c>
      <c r="M73" s="10">
        <v>12.4</v>
      </c>
      <c r="N73" s="10">
        <v>1518.68</v>
      </c>
      <c r="O73" s="10">
        <v>24.6249</v>
      </c>
      <c r="P73" s="10">
        <v>2528.71</v>
      </c>
      <c r="Q73" s="10">
        <v>3082.69</v>
      </c>
      <c r="R73" s="10">
        <v>452.75</v>
      </c>
      <c r="S73" s="25">
        <v>209.45</v>
      </c>
      <c r="T73" s="10">
        <v>2.229422</v>
      </c>
      <c r="U73" s="26">
        <v>3.5983</v>
      </c>
      <c r="V73" s="26">
        <v>310.477</v>
      </c>
      <c r="W73" s="27">
        <f t="shared" si="1"/>
        <v>1.15895863461706</v>
      </c>
      <c r="X73" s="27">
        <v>64230</v>
      </c>
      <c r="Y73" s="10">
        <v>24124</v>
      </c>
      <c r="Z73" s="10">
        <v>474</v>
      </c>
      <c r="AA73" s="10">
        <v>10425</v>
      </c>
      <c r="AB73" s="10"/>
    </row>
    <row r="74" ht="21" spans="1:28">
      <c r="A74" s="10">
        <v>2017</v>
      </c>
      <c r="B74" s="10">
        <v>520000</v>
      </c>
      <c r="C74" s="24" t="s">
        <v>45</v>
      </c>
      <c r="D74" s="10">
        <v>36459</v>
      </c>
      <c r="E74" s="10">
        <v>1325.62</v>
      </c>
      <c r="F74" s="10">
        <v>19.3259</v>
      </c>
      <c r="G74" s="10">
        <v>25.4716</v>
      </c>
      <c r="H74" s="10">
        <v>149.03</v>
      </c>
      <c r="I74" s="10">
        <v>1.9741</v>
      </c>
      <c r="J74" s="10">
        <v>129.726</v>
      </c>
      <c r="K74" s="10">
        <v>836.119</v>
      </c>
      <c r="L74" s="10">
        <v>45</v>
      </c>
      <c r="M74" s="10">
        <v>10.4</v>
      </c>
      <c r="N74" s="10">
        <v>1434.34</v>
      </c>
      <c r="O74" s="10">
        <v>24.5232</v>
      </c>
      <c r="P74" s="10">
        <v>2938.47</v>
      </c>
      <c r="Q74" s="10">
        <v>3485.65</v>
      </c>
      <c r="R74" s="10">
        <v>576.43</v>
      </c>
      <c r="S74" s="25">
        <v>251.46</v>
      </c>
      <c r="T74" s="10">
        <v>4.872978</v>
      </c>
      <c r="U74" s="26">
        <v>3.8037</v>
      </c>
      <c r="V74" s="26">
        <v>315.224</v>
      </c>
      <c r="W74" s="27">
        <f t="shared" si="1"/>
        <v>1.20666573611146</v>
      </c>
      <c r="X74" s="27">
        <v>75025</v>
      </c>
      <c r="Y74" s="10">
        <v>28290</v>
      </c>
      <c r="Z74" s="10">
        <v>442</v>
      </c>
      <c r="AA74" s="10">
        <v>12559</v>
      </c>
      <c r="AB74" s="10"/>
    </row>
    <row r="75" ht="21" spans="1:28">
      <c r="A75" s="10">
        <v>2018</v>
      </c>
      <c r="B75" s="10">
        <v>520000</v>
      </c>
      <c r="C75" s="24" t="s">
        <v>45</v>
      </c>
      <c r="D75" s="10">
        <v>35005.6</v>
      </c>
      <c r="E75" s="10">
        <v>1535.42</v>
      </c>
      <c r="F75" s="10">
        <v>20.9289</v>
      </c>
      <c r="G75" s="10">
        <v>39.795</v>
      </c>
      <c r="H75" s="10">
        <v>149.127</v>
      </c>
      <c r="I75" s="10">
        <v>2.2306</v>
      </c>
      <c r="J75" s="10">
        <v>176.734</v>
      </c>
      <c r="K75" s="10">
        <v>2193.37</v>
      </c>
      <c r="L75" s="10">
        <v>44</v>
      </c>
      <c r="M75" s="10">
        <v>9.67287</v>
      </c>
      <c r="N75" s="10">
        <v>1612.09</v>
      </c>
      <c r="O75" s="10">
        <v>25.5129</v>
      </c>
      <c r="P75" s="10">
        <v>3323.1</v>
      </c>
      <c r="Q75" s="10">
        <v>3940.43</v>
      </c>
      <c r="R75" s="10">
        <v>702.92</v>
      </c>
      <c r="S75" s="25">
        <v>276.91</v>
      </c>
      <c r="T75" s="10">
        <v>5.933671</v>
      </c>
      <c r="U75" s="26">
        <v>3.4704</v>
      </c>
      <c r="V75" s="26">
        <v>308.541</v>
      </c>
      <c r="W75" s="27">
        <f t="shared" si="1"/>
        <v>1.1247775822338</v>
      </c>
      <c r="X75" s="27">
        <v>69877</v>
      </c>
      <c r="Y75" s="10">
        <v>33357</v>
      </c>
      <c r="Z75" s="10">
        <v>494</v>
      </c>
      <c r="AA75" s="10">
        <v>19456</v>
      </c>
      <c r="AB75" s="10"/>
    </row>
    <row r="76" ht="21" spans="1:28">
      <c r="A76" s="10">
        <v>2019</v>
      </c>
      <c r="B76" s="10">
        <v>520000</v>
      </c>
      <c r="C76" s="24" t="s">
        <v>45</v>
      </c>
      <c r="D76" s="10">
        <v>34149.8</v>
      </c>
      <c r="E76" s="10">
        <v>1759.85</v>
      </c>
      <c r="F76" s="10">
        <v>25.7388</v>
      </c>
      <c r="G76" s="10">
        <v>119.934</v>
      </c>
      <c r="H76" s="10">
        <v>149.201</v>
      </c>
      <c r="I76" s="10">
        <v>2.6368</v>
      </c>
      <c r="J76" s="10">
        <v>212.336</v>
      </c>
      <c r="K76" s="10">
        <v>3874.72</v>
      </c>
      <c r="L76" s="10">
        <v>41.6</v>
      </c>
      <c r="M76" s="10">
        <v>9.4</v>
      </c>
      <c r="N76" s="10">
        <v>1415.35</v>
      </c>
      <c r="O76" s="10">
        <v>28.4877</v>
      </c>
      <c r="P76" s="10">
        <v>3520.08</v>
      </c>
      <c r="Q76" s="10">
        <v>4049.75</v>
      </c>
      <c r="R76" s="10">
        <v>813.02</v>
      </c>
      <c r="S76" s="25">
        <v>293.51</v>
      </c>
      <c r="T76" s="10">
        <v>7.227107</v>
      </c>
      <c r="U76" s="26">
        <v>3.994</v>
      </c>
      <c r="V76" s="26">
        <v>321.085</v>
      </c>
      <c r="W76" s="27">
        <f t="shared" si="1"/>
        <v>1.24390737655138</v>
      </c>
      <c r="X76" s="27">
        <v>67065</v>
      </c>
      <c r="Y76" s="10">
        <v>37757</v>
      </c>
      <c r="Z76" s="10">
        <v>590</v>
      </c>
      <c r="AA76" s="10">
        <v>24729</v>
      </c>
      <c r="AB76" s="10"/>
    </row>
    <row r="77" ht="21" spans="1:28">
      <c r="A77" s="10">
        <v>2020</v>
      </c>
      <c r="B77" s="10">
        <v>520000</v>
      </c>
      <c r="C77" s="24" t="s">
        <v>45</v>
      </c>
      <c r="D77" s="10">
        <v>35463</v>
      </c>
      <c r="E77" s="10">
        <v>1744.5</v>
      </c>
      <c r="F77" s="10">
        <v>27.9</v>
      </c>
      <c r="G77" s="10">
        <v>110.1</v>
      </c>
      <c r="H77" s="10">
        <v>149.9</v>
      </c>
      <c r="I77" s="10">
        <v>3.043</v>
      </c>
      <c r="J77" s="10">
        <v>267.83</v>
      </c>
      <c r="K77" s="10">
        <v>5077.83</v>
      </c>
      <c r="L77" s="10">
        <v>41</v>
      </c>
      <c r="M77" s="10">
        <v>10.6</v>
      </c>
      <c r="N77" s="10">
        <v>1628.1</v>
      </c>
      <c r="O77" s="10">
        <v>29</v>
      </c>
      <c r="P77" s="10">
        <v>3597.4</v>
      </c>
      <c r="Q77" s="10">
        <v>4093.5</v>
      </c>
      <c r="R77" s="10">
        <v>836.9</v>
      </c>
      <c r="S77" s="25">
        <v>307.94</v>
      </c>
      <c r="T77" s="10">
        <v>12.2664</v>
      </c>
      <c r="U77" s="26">
        <v>4.5993</v>
      </c>
      <c r="V77" s="26">
        <v>335.287</v>
      </c>
      <c r="W77" s="27">
        <f t="shared" si="1"/>
        <v>1.3717501722405</v>
      </c>
      <c r="X77" s="27">
        <v>84786</v>
      </c>
      <c r="Y77" s="10">
        <v>41496.4</v>
      </c>
      <c r="Z77" s="10">
        <v>679</v>
      </c>
      <c r="AA77" s="10">
        <v>34971</v>
      </c>
      <c r="AB77" s="10"/>
    </row>
    <row r="78" ht="21" spans="1:28">
      <c r="A78" s="10">
        <v>2021</v>
      </c>
      <c r="B78" s="10">
        <v>520000</v>
      </c>
      <c r="C78" s="24" t="s">
        <v>45</v>
      </c>
      <c r="D78" s="10">
        <v>34000.9</v>
      </c>
      <c r="E78" s="10">
        <v>2045.11</v>
      </c>
      <c r="F78" s="10">
        <v>30.1056</v>
      </c>
      <c r="G78" s="10">
        <v>230.262</v>
      </c>
      <c r="H78" s="10">
        <v>149.722</v>
      </c>
      <c r="I78" s="10">
        <v>3.6939</v>
      </c>
      <c r="J78" s="10">
        <v>408.043</v>
      </c>
      <c r="K78" s="10">
        <v>437.54</v>
      </c>
      <c r="L78" s="10">
        <v>41.2</v>
      </c>
      <c r="M78" s="10">
        <v>10.7</v>
      </c>
      <c r="N78" s="10">
        <v>1746.6</v>
      </c>
      <c r="O78" s="10">
        <v>30.3201</v>
      </c>
      <c r="P78" s="10">
        <v>3811.02</v>
      </c>
      <c r="Q78" s="10">
        <v>4269.91</v>
      </c>
      <c r="R78" s="10">
        <v>869.08</v>
      </c>
      <c r="S78" s="25">
        <v>322.6</v>
      </c>
      <c r="T78" s="10">
        <v>10.68696</v>
      </c>
      <c r="U78" s="26">
        <v>4.5508</v>
      </c>
      <c r="V78" s="26">
        <v>336.714</v>
      </c>
      <c r="W78" s="27">
        <f t="shared" si="1"/>
        <v>1.35153275480081</v>
      </c>
      <c r="X78" s="27">
        <v>89564</v>
      </c>
      <c r="Y78" s="10">
        <v>43084.1</v>
      </c>
      <c r="Z78" s="10">
        <v>503</v>
      </c>
      <c r="AA78" s="10">
        <v>39267</v>
      </c>
      <c r="AB78" s="10"/>
    </row>
    <row r="79" ht="21" spans="1:28">
      <c r="A79" s="10">
        <v>2022</v>
      </c>
      <c r="B79" s="10">
        <v>520000</v>
      </c>
      <c r="C79" s="24" t="s">
        <v>45</v>
      </c>
      <c r="D79" s="10">
        <v>33091.9</v>
      </c>
      <c r="E79" s="10">
        <v>2386.36</v>
      </c>
      <c r="F79" s="10">
        <v>32.9052</v>
      </c>
      <c r="G79" s="10">
        <v>181.163</v>
      </c>
      <c r="H79" s="10">
        <v>151.02</v>
      </c>
      <c r="I79" s="10">
        <v>3.6554</v>
      </c>
      <c r="J79" s="10">
        <v>717.323</v>
      </c>
      <c r="K79" s="10">
        <v>447.707</v>
      </c>
      <c r="L79" s="10">
        <v>31.3</v>
      </c>
      <c r="M79" s="10">
        <v>8.78777</v>
      </c>
      <c r="N79" s="10">
        <v>3520.46</v>
      </c>
      <c r="O79" s="10">
        <v>33.0736</v>
      </c>
      <c r="P79" s="10">
        <v>4013.17</v>
      </c>
      <c r="Q79" s="10">
        <v>4447.91</v>
      </c>
      <c r="R79" s="10">
        <v>909.914</v>
      </c>
      <c r="S79" s="25">
        <v>338.01</v>
      </c>
      <c r="T79" s="10">
        <v>11.43054</v>
      </c>
      <c r="U79" s="26">
        <v>4.5151</v>
      </c>
      <c r="V79" s="26">
        <v>327.349</v>
      </c>
      <c r="W79" s="27">
        <f t="shared" si="1"/>
        <v>1.37929243712368</v>
      </c>
      <c r="X79" s="27">
        <v>100642</v>
      </c>
      <c r="Y79" s="10">
        <v>47155.5</v>
      </c>
      <c r="Z79" s="10">
        <v>439</v>
      </c>
      <c r="AA79" s="10">
        <v>29382</v>
      </c>
      <c r="AB79" s="10"/>
    </row>
    <row r="80" ht="21" spans="1:28">
      <c r="A80" s="10">
        <v>2023</v>
      </c>
      <c r="B80" s="10">
        <v>520000</v>
      </c>
      <c r="C80" s="24" t="s">
        <v>45</v>
      </c>
      <c r="D80" s="10">
        <v>34958</v>
      </c>
      <c r="E80" s="10">
        <v>2622.4</v>
      </c>
      <c r="F80" s="10">
        <v>35.4</v>
      </c>
      <c r="G80" s="10">
        <v>175.2</v>
      </c>
      <c r="H80" s="10">
        <v>150.977</v>
      </c>
      <c r="I80" s="10">
        <v>3.9892</v>
      </c>
      <c r="J80" s="10">
        <v>851.13</v>
      </c>
      <c r="K80" s="10">
        <v>463.86</v>
      </c>
      <c r="L80" s="10">
        <v>25.8541</v>
      </c>
      <c r="M80" s="10">
        <v>13.21</v>
      </c>
      <c r="N80" s="10">
        <v>4963.89</v>
      </c>
      <c r="O80" s="10">
        <v>35.6505</v>
      </c>
      <c r="P80" s="10">
        <v>4167.2</v>
      </c>
      <c r="Q80" s="10">
        <v>4554.5</v>
      </c>
      <c r="R80" s="10"/>
      <c r="S80" s="25">
        <v>354.08</v>
      </c>
      <c r="T80" s="10">
        <v>15.81069</v>
      </c>
      <c r="U80" s="26">
        <v>4.1851</v>
      </c>
      <c r="V80" s="26">
        <v>310.754</v>
      </c>
      <c r="W80" s="27">
        <f t="shared" si="1"/>
        <v>1.34675659846695</v>
      </c>
      <c r="X80" s="27">
        <v>105794</v>
      </c>
      <c r="Y80" s="10">
        <v>46990.1</v>
      </c>
      <c r="Z80" s="10">
        <v>377</v>
      </c>
      <c r="AA80" s="10">
        <v>22149</v>
      </c>
      <c r="AB80" s="10"/>
    </row>
    <row r="81" ht="21" spans="1:28">
      <c r="A81" s="10">
        <v>2013</v>
      </c>
      <c r="B81" s="10">
        <v>460000</v>
      </c>
      <c r="C81" s="24" t="s">
        <v>46</v>
      </c>
      <c r="D81" s="10">
        <v>3301</v>
      </c>
      <c r="E81" s="10">
        <v>198.6</v>
      </c>
      <c r="F81" s="10">
        <v>2.0948</v>
      </c>
      <c r="G81" s="10">
        <v>13.6061</v>
      </c>
      <c r="H81" s="10">
        <v>98.816</v>
      </c>
      <c r="I81" s="10">
        <v>1.2105</v>
      </c>
      <c r="J81" s="10">
        <v>15.7958</v>
      </c>
      <c r="K81" s="10">
        <v>117.558</v>
      </c>
      <c r="L81" s="10">
        <v>69.6161</v>
      </c>
      <c r="M81" s="10">
        <v>4.78976</v>
      </c>
      <c r="N81" s="10">
        <v>177.246</v>
      </c>
      <c r="O81" s="10">
        <v>33.6475</v>
      </c>
      <c r="P81" s="10"/>
      <c r="Q81" s="10">
        <v>858.3</v>
      </c>
      <c r="R81" s="10">
        <v>92.3</v>
      </c>
      <c r="S81" s="25">
        <v>158.26</v>
      </c>
      <c r="T81" s="10">
        <v>0.0923743</v>
      </c>
      <c r="U81" s="26">
        <v>1.2996</v>
      </c>
      <c r="V81" s="26">
        <v>98.758</v>
      </c>
      <c r="W81" s="27">
        <f t="shared" si="1"/>
        <v>1.31594402478787</v>
      </c>
      <c r="X81" s="27">
        <v>19986</v>
      </c>
      <c r="Y81" s="10">
        <v>6961.7</v>
      </c>
      <c r="Z81" s="10">
        <v>36</v>
      </c>
      <c r="AA81" s="10">
        <v>1331</v>
      </c>
      <c r="AB81" s="10"/>
    </row>
    <row r="82" ht="21" spans="1:28">
      <c r="A82" s="10">
        <v>2014</v>
      </c>
      <c r="B82" s="10">
        <v>460000</v>
      </c>
      <c r="C82" s="24" t="s">
        <v>46</v>
      </c>
      <c r="D82" s="10">
        <v>3302</v>
      </c>
      <c r="E82" s="10">
        <v>223.9</v>
      </c>
      <c r="F82" s="10">
        <v>3</v>
      </c>
      <c r="G82" s="10">
        <v>19.6329</v>
      </c>
      <c r="H82" s="10">
        <v>159.354</v>
      </c>
      <c r="I82" s="10">
        <v>1.1885</v>
      </c>
      <c r="J82" s="10">
        <v>17.0294</v>
      </c>
      <c r="K82" s="10">
        <v>128.75</v>
      </c>
      <c r="L82" s="10">
        <v>73.5849</v>
      </c>
      <c r="M82" s="10">
        <v>11.2178</v>
      </c>
      <c r="N82" s="10">
        <v>364.377</v>
      </c>
      <c r="O82" s="10">
        <v>35.6417</v>
      </c>
      <c r="P82" s="10">
        <v>700.73</v>
      </c>
      <c r="Q82" s="10">
        <v>907.42</v>
      </c>
      <c r="R82" s="10">
        <v>91.4277</v>
      </c>
      <c r="S82" s="25">
        <v>179.62</v>
      </c>
      <c r="T82" s="10">
        <v>0.0549501</v>
      </c>
      <c r="U82" s="26">
        <v>1.5648</v>
      </c>
      <c r="V82" s="26">
        <v>101.521</v>
      </c>
      <c r="W82" s="27">
        <f t="shared" si="1"/>
        <v>1.54135597561096</v>
      </c>
      <c r="X82" s="27">
        <v>23527</v>
      </c>
      <c r="Y82" s="10">
        <v>7514</v>
      </c>
      <c r="Z82" s="10">
        <v>34</v>
      </c>
      <c r="AA82" s="10">
        <v>1597</v>
      </c>
      <c r="AB82" s="10"/>
    </row>
    <row r="83" ht="21" spans="1:28">
      <c r="A83" s="10">
        <v>2015</v>
      </c>
      <c r="B83" s="10">
        <v>460000</v>
      </c>
      <c r="C83" s="24" t="s">
        <v>46</v>
      </c>
      <c r="D83" s="10">
        <v>3376</v>
      </c>
      <c r="E83" s="10">
        <v>398.39</v>
      </c>
      <c r="F83" s="10">
        <v>3.9671</v>
      </c>
      <c r="G83" s="10">
        <v>26.7</v>
      </c>
      <c r="H83" s="10"/>
      <c r="I83" s="10">
        <v>1.5</v>
      </c>
      <c r="J83" s="10">
        <v>42.7822</v>
      </c>
      <c r="K83" s="10">
        <v>171.31</v>
      </c>
      <c r="L83" s="10">
        <v>70</v>
      </c>
      <c r="M83" s="10">
        <v>15.8</v>
      </c>
      <c r="N83" s="10">
        <v>574.211</v>
      </c>
      <c r="O83" s="10">
        <v>37.271</v>
      </c>
      <c r="P83" s="10">
        <v>783.01</v>
      </c>
      <c r="Q83" s="10">
        <v>894.05</v>
      </c>
      <c r="R83" s="10">
        <v>98.6504</v>
      </c>
      <c r="S83" s="25">
        <v>230.33</v>
      </c>
      <c r="T83" s="10">
        <v>0.2815589</v>
      </c>
      <c r="U83" s="26">
        <v>1.5329</v>
      </c>
      <c r="V83" s="26">
        <v>100.356</v>
      </c>
      <c r="W83" s="27">
        <f t="shared" si="1"/>
        <v>1.52746223444537</v>
      </c>
      <c r="X83" s="27">
        <v>25013</v>
      </c>
      <c r="Y83" s="10">
        <v>7713</v>
      </c>
      <c r="Z83" s="10">
        <v>43</v>
      </c>
      <c r="AA83" s="10">
        <v>2061</v>
      </c>
      <c r="AB83" s="10"/>
    </row>
    <row r="84" ht="21" spans="1:28">
      <c r="A84" s="10">
        <v>2016</v>
      </c>
      <c r="B84" s="10">
        <v>460000</v>
      </c>
      <c r="C84" s="24" t="s">
        <v>46</v>
      </c>
      <c r="D84" s="10">
        <v>3376</v>
      </c>
      <c r="E84" s="10">
        <v>522.929</v>
      </c>
      <c r="F84" s="10">
        <v>4.8303</v>
      </c>
      <c r="G84" s="10">
        <v>14.665</v>
      </c>
      <c r="H84" s="10"/>
      <c r="I84" s="10">
        <v>1.8079</v>
      </c>
      <c r="J84" s="10">
        <v>76.7042</v>
      </c>
      <c r="K84" s="10">
        <v>125.95</v>
      </c>
      <c r="L84" s="10">
        <v>69.2</v>
      </c>
      <c r="M84" s="10">
        <v>18.4</v>
      </c>
      <c r="N84" s="10">
        <v>525.973</v>
      </c>
      <c r="O84" s="10">
        <v>39.129</v>
      </c>
      <c r="P84" s="10">
        <v>816.6</v>
      </c>
      <c r="Q84" s="10">
        <v>942.32</v>
      </c>
      <c r="R84" s="10">
        <v>106.17</v>
      </c>
      <c r="S84" s="25">
        <v>231.56</v>
      </c>
      <c r="T84" s="10">
        <v>0.3558185</v>
      </c>
      <c r="U84" s="26">
        <v>1.6216</v>
      </c>
      <c r="V84" s="26">
        <v>101.182</v>
      </c>
      <c r="W84" s="27">
        <f t="shared" si="1"/>
        <v>1.60265659899982</v>
      </c>
      <c r="X84" s="27">
        <v>25305</v>
      </c>
      <c r="Y84" s="10">
        <v>7840.2</v>
      </c>
      <c r="Z84" s="10">
        <v>26</v>
      </c>
      <c r="AA84" s="10">
        <v>1939</v>
      </c>
      <c r="AB84" s="10"/>
    </row>
    <row r="85" ht="21" spans="1:28">
      <c r="A85" s="10">
        <v>2017</v>
      </c>
      <c r="B85" s="10">
        <v>460000</v>
      </c>
      <c r="C85" s="24" t="s">
        <v>46</v>
      </c>
      <c r="D85" s="10">
        <v>3376</v>
      </c>
      <c r="E85" s="10">
        <v>571.628</v>
      </c>
      <c r="F85" s="10">
        <v>5.2323</v>
      </c>
      <c r="G85" s="10">
        <v>38.5853</v>
      </c>
      <c r="H85" s="10">
        <v>159.191</v>
      </c>
      <c r="I85" s="10">
        <v>2.531</v>
      </c>
      <c r="J85" s="10">
        <v>103.689</v>
      </c>
      <c r="K85" s="10">
        <v>251.268</v>
      </c>
      <c r="L85" s="10">
        <v>69</v>
      </c>
      <c r="M85" s="10">
        <v>14.8</v>
      </c>
      <c r="N85" s="10">
        <v>563.893</v>
      </c>
      <c r="O85" s="10">
        <v>41.1864</v>
      </c>
      <c r="P85" s="10">
        <v>911.697</v>
      </c>
      <c r="Q85" s="10">
        <v>1007.46</v>
      </c>
      <c r="R85" s="10">
        <v>124.38</v>
      </c>
      <c r="S85" s="25">
        <v>275.64</v>
      </c>
      <c r="T85" s="10">
        <v>0.6614594</v>
      </c>
      <c r="U85" s="26">
        <v>1.9239</v>
      </c>
      <c r="V85" s="26">
        <v>100.864</v>
      </c>
      <c r="W85" s="27">
        <f t="shared" si="1"/>
        <v>1.90741989213198</v>
      </c>
      <c r="X85" s="27">
        <v>24871</v>
      </c>
      <c r="Y85" s="10">
        <v>7715</v>
      </c>
      <c r="Z85" s="10">
        <v>27</v>
      </c>
      <c r="AA85" s="10">
        <v>2133</v>
      </c>
      <c r="AB85" s="10"/>
    </row>
    <row r="86" ht="21" spans="1:28">
      <c r="A86" s="10">
        <v>2018</v>
      </c>
      <c r="B86" s="10">
        <v>460000</v>
      </c>
      <c r="C86" s="24" t="s">
        <v>46</v>
      </c>
      <c r="D86" s="10">
        <v>914.96</v>
      </c>
      <c r="E86" s="10">
        <v>726.09</v>
      </c>
      <c r="F86" s="10">
        <v>5.5314</v>
      </c>
      <c r="G86" s="10">
        <v>28.4044</v>
      </c>
      <c r="H86" s="10">
        <v>159.294</v>
      </c>
      <c r="I86" s="10">
        <v>2.6501</v>
      </c>
      <c r="J86" s="10">
        <v>253.27</v>
      </c>
      <c r="K86" s="10">
        <v>569.24</v>
      </c>
      <c r="L86" s="10">
        <v>60</v>
      </c>
      <c r="M86" s="10">
        <v>12.9672</v>
      </c>
      <c r="N86" s="10">
        <v>689.495</v>
      </c>
      <c r="O86" s="10">
        <v>40.3871</v>
      </c>
      <c r="P86" s="10">
        <v>913.96</v>
      </c>
      <c r="Q86" s="10">
        <v>1085.32</v>
      </c>
      <c r="R86" s="10">
        <v>151.97</v>
      </c>
      <c r="S86" s="25">
        <v>309.72</v>
      </c>
      <c r="T86" s="10">
        <v>1.006922</v>
      </c>
      <c r="U86" s="26">
        <v>2.1986</v>
      </c>
      <c r="V86" s="26">
        <v>99.5797</v>
      </c>
      <c r="W86" s="27">
        <f t="shared" si="1"/>
        <v>2.20787971845667</v>
      </c>
      <c r="X86" s="27">
        <v>24856</v>
      </c>
      <c r="Y86" s="10">
        <v>8160.2</v>
      </c>
      <c r="Z86" s="10">
        <v>36</v>
      </c>
      <c r="AA86" s="10">
        <v>3292</v>
      </c>
      <c r="AB86" s="10"/>
    </row>
    <row r="87" ht="21" spans="1:28">
      <c r="A87" s="10">
        <v>2019</v>
      </c>
      <c r="B87" s="10">
        <v>460000</v>
      </c>
      <c r="C87" s="24" t="s">
        <v>46</v>
      </c>
      <c r="D87" s="10">
        <v>3215.19</v>
      </c>
      <c r="E87" s="10">
        <v>794.11</v>
      </c>
      <c r="F87" s="10">
        <v>7.6446</v>
      </c>
      <c r="G87" s="10">
        <v>64.1935</v>
      </c>
      <c r="H87" s="10">
        <v>159.374</v>
      </c>
      <c r="I87" s="10">
        <v>2.40395</v>
      </c>
      <c r="J87" s="10">
        <v>286.022</v>
      </c>
      <c r="K87" s="10">
        <v>873.991</v>
      </c>
      <c r="L87" s="10">
        <v>51.9</v>
      </c>
      <c r="M87" s="10">
        <v>12.9</v>
      </c>
      <c r="N87" s="10">
        <v>828.474</v>
      </c>
      <c r="O87" s="10">
        <v>42.351</v>
      </c>
      <c r="P87" s="10">
        <v>931.515</v>
      </c>
      <c r="Q87" s="10">
        <v>1135.65</v>
      </c>
      <c r="R87" s="10">
        <v>145.06</v>
      </c>
      <c r="S87" s="25">
        <v>328.75</v>
      </c>
      <c r="T87" s="10">
        <v>1.799436</v>
      </c>
      <c r="U87" s="26">
        <v>2.1825</v>
      </c>
      <c r="V87" s="26">
        <v>102.191</v>
      </c>
      <c r="W87" s="27">
        <f t="shared" si="1"/>
        <v>2.13570666692762</v>
      </c>
      <c r="X87" s="27">
        <v>25748</v>
      </c>
      <c r="Y87" s="10">
        <v>8903.4</v>
      </c>
      <c r="Z87" s="10">
        <v>51</v>
      </c>
      <c r="AA87" s="10">
        <v>4423</v>
      </c>
      <c r="AB87" s="10"/>
    </row>
    <row r="88" ht="21" spans="1:28">
      <c r="A88" s="10">
        <v>2020</v>
      </c>
      <c r="B88" s="10">
        <v>460000</v>
      </c>
      <c r="C88" s="24" t="s">
        <v>46</v>
      </c>
      <c r="D88" s="10">
        <v>3175</v>
      </c>
      <c r="E88" s="10">
        <v>852.3</v>
      </c>
      <c r="F88" s="10">
        <v>8.2</v>
      </c>
      <c r="G88" s="10">
        <v>41.8</v>
      </c>
      <c r="H88" s="10">
        <v>160.1</v>
      </c>
      <c r="I88" s="10">
        <v>2.1578</v>
      </c>
      <c r="J88" s="10">
        <v>119.33</v>
      </c>
      <c r="K88" s="10">
        <v>1146.73</v>
      </c>
      <c r="L88" s="10">
        <v>45</v>
      </c>
      <c r="M88" s="10">
        <v>13.9</v>
      </c>
      <c r="N88" s="10">
        <v>941.7</v>
      </c>
      <c r="O88" s="10">
        <v>42</v>
      </c>
      <c r="P88" s="10">
        <v>964</v>
      </c>
      <c r="Q88" s="10">
        <v>1135.2</v>
      </c>
      <c r="R88" s="10">
        <v>133.16</v>
      </c>
      <c r="S88" s="25">
        <v>344.05</v>
      </c>
      <c r="T88" s="10">
        <v>3.982632</v>
      </c>
      <c r="U88" s="26">
        <v>2.4207</v>
      </c>
      <c r="V88" s="26">
        <v>108.493</v>
      </c>
      <c r="W88" s="27">
        <f t="shared" si="1"/>
        <v>2.23120385647</v>
      </c>
      <c r="X88" s="27">
        <v>27431</v>
      </c>
      <c r="Y88" s="10">
        <v>8961.4</v>
      </c>
      <c r="Z88" s="10">
        <v>65</v>
      </c>
      <c r="AA88" s="10">
        <v>8578</v>
      </c>
      <c r="AB88" s="10"/>
    </row>
    <row r="89" ht="21" spans="1:28">
      <c r="A89" s="10">
        <v>2021</v>
      </c>
      <c r="B89" s="10">
        <v>460000</v>
      </c>
      <c r="C89" s="24" t="s">
        <v>46</v>
      </c>
      <c r="D89" s="10">
        <v>2893.32</v>
      </c>
      <c r="E89" s="10">
        <v>1095.95</v>
      </c>
      <c r="F89" s="10">
        <v>8.6986</v>
      </c>
      <c r="G89" s="10">
        <v>17.4662</v>
      </c>
      <c r="H89" s="10">
        <v>159.97</v>
      </c>
      <c r="I89" s="10">
        <v>3.2797</v>
      </c>
      <c r="J89" s="10">
        <v>104.295</v>
      </c>
      <c r="K89" s="10">
        <v>135.77</v>
      </c>
      <c r="L89" s="10">
        <v>42.4</v>
      </c>
      <c r="M89" s="10">
        <v>13.8</v>
      </c>
      <c r="N89" s="10">
        <v>1250.12</v>
      </c>
      <c r="O89" s="10">
        <v>41.9419</v>
      </c>
      <c r="P89" s="10">
        <v>989.43</v>
      </c>
      <c r="Q89" s="10">
        <v>1158.86</v>
      </c>
      <c r="R89" s="10">
        <v>124.28</v>
      </c>
      <c r="S89" s="25">
        <v>359.83</v>
      </c>
      <c r="T89" s="10">
        <v>4.729253</v>
      </c>
      <c r="U89" s="26">
        <v>2.7981</v>
      </c>
      <c r="V89" s="26">
        <v>113.657</v>
      </c>
      <c r="W89" s="27">
        <f t="shared" si="1"/>
        <v>2.46188092242449</v>
      </c>
      <c r="X89" s="27">
        <v>27783</v>
      </c>
      <c r="Y89" s="10">
        <v>13457.3</v>
      </c>
      <c r="Z89" s="10">
        <v>68</v>
      </c>
      <c r="AA89" s="10">
        <v>13632</v>
      </c>
      <c r="AB89" s="10"/>
    </row>
    <row r="90" ht="21" spans="1:28">
      <c r="A90" s="10">
        <v>2022</v>
      </c>
      <c r="B90" s="10">
        <v>460000</v>
      </c>
      <c r="C90" s="24" t="s">
        <v>46</v>
      </c>
      <c r="D90" s="10">
        <v>2893.32</v>
      </c>
      <c r="E90" s="10">
        <v>1044.7</v>
      </c>
      <c r="F90" s="10">
        <v>9.4872</v>
      </c>
      <c r="G90" s="10">
        <v>14.6346</v>
      </c>
      <c r="H90" s="10">
        <v>161.317</v>
      </c>
      <c r="I90" s="10">
        <v>5.5042</v>
      </c>
      <c r="J90" s="10">
        <v>126.433</v>
      </c>
      <c r="K90" s="10">
        <v>140.239</v>
      </c>
      <c r="L90" s="10">
        <v>34.8</v>
      </c>
      <c r="M90" s="10">
        <v>13.3104</v>
      </c>
      <c r="N90" s="10">
        <v>1585.9</v>
      </c>
      <c r="O90" s="10">
        <v>45.1693</v>
      </c>
      <c r="P90" s="10">
        <v>1044.41</v>
      </c>
      <c r="Q90" s="10">
        <v>1172.79</v>
      </c>
      <c r="R90" s="10">
        <v>117.195</v>
      </c>
      <c r="S90" s="25">
        <v>375.98</v>
      </c>
      <c r="T90" s="10">
        <v>3.968756</v>
      </c>
      <c r="U90" s="26">
        <v>2.4731</v>
      </c>
      <c r="V90" s="26">
        <v>109.212</v>
      </c>
      <c r="W90" s="27">
        <f t="shared" si="1"/>
        <v>2.26449474416731</v>
      </c>
      <c r="X90" s="27">
        <v>31624</v>
      </c>
      <c r="Y90" s="10">
        <v>17062.6</v>
      </c>
      <c r="Z90" s="10">
        <v>83</v>
      </c>
      <c r="AA90" s="10">
        <v>13148</v>
      </c>
      <c r="AB90" s="10"/>
    </row>
    <row r="91" ht="21" spans="1:28">
      <c r="A91" s="10">
        <v>2023</v>
      </c>
      <c r="B91" s="10">
        <v>460000</v>
      </c>
      <c r="C91" s="24" t="s">
        <v>46</v>
      </c>
      <c r="D91" s="10">
        <v>2893</v>
      </c>
      <c r="E91" s="10">
        <v>1142.5</v>
      </c>
      <c r="F91" s="10">
        <v>10</v>
      </c>
      <c r="G91" s="10">
        <v>13.2</v>
      </c>
      <c r="H91" s="10">
        <v>161.27</v>
      </c>
      <c r="I91" s="10">
        <v>3.3832</v>
      </c>
      <c r="J91" s="10">
        <v>129.21</v>
      </c>
      <c r="K91" s="10">
        <v>154.2</v>
      </c>
      <c r="L91" s="10">
        <v>34.9571</v>
      </c>
      <c r="M91" s="10">
        <v>15.3747</v>
      </c>
      <c r="N91" s="10">
        <v>2440.99</v>
      </c>
      <c r="O91" s="10">
        <v>47.4284</v>
      </c>
      <c r="P91" s="10">
        <v>1094</v>
      </c>
      <c r="Q91" s="10">
        <v>1206.8</v>
      </c>
      <c r="R91" s="10"/>
      <c r="S91" s="25">
        <v>392.37</v>
      </c>
      <c r="T91" s="10">
        <v>5.480466</v>
      </c>
      <c r="U91" s="26">
        <v>2.0131</v>
      </c>
      <c r="V91" s="26">
        <v>102.102</v>
      </c>
      <c r="W91" s="27">
        <f t="shared" si="1"/>
        <v>1.97165579518521</v>
      </c>
      <c r="X91" s="27">
        <v>35260</v>
      </c>
      <c r="Y91" s="10">
        <v>22329</v>
      </c>
      <c r="Z91" s="10">
        <v>131</v>
      </c>
      <c r="AA91" s="10">
        <v>10963</v>
      </c>
      <c r="AB91" s="10"/>
    </row>
    <row r="92" ht="21" spans="1:28">
      <c r="A92" s="10">
        <v>2013</v>
      </c>
      <c r="B92" s="10">
        <v>130000</v>
      </c>
      <c r="C92" s="24" t="s">
        <v>47</v>
      </c>
      <c r="D92" s="10">
        <v>35331</v>
      </c>
      <c r="E92" s="10">
        <v>2049.3</v>
      </c>
      <c r="F92" s="10">
        <v>9.1297</v>
      </c>
      <c r="G92" s="10">
        <v>25.3335</v>
      </c>
      <c r="H92" s="10">
        <v>841.421</v>
      </c>
      <c r="I92" s="10">
        <v>8.9634</v>
      </c>
      <c r="J92" s="10">
        <v>134.226</v>
      </c>
      <c r="K92" s="10">
        <v>651.664</v>
      </c>
      <c r="L92" s="10">
        <v>50.3785</v>
      </c>
      <c r="M92" s="10">
        <v>2.68864</v>
      </c>
      <c r="N92" s="10">
        <v>1166.04</v>
      </c>
      <c r="O92" s="10">
        <v>15.7887</v>
      </c>
      <c r="P92" s="10"/>
      <c r="Q92" s="10">
        <v>6006.2</v>
      </c>
      <c r="R92" s="10">
        <v>687.29</v>
      </c>
      <c r="S92" s="25">
        <v>144.98</v>
      </c>
      <c r="T92" s="10">
        <v>2.17319</v>
      </c>
      <c r="U92" s="26">
        <v>8.6275</v>
      </c>
      <c r="V92" s="26">
        <v>653.358</v>
      </c>
      <c r="W92" s="27">
        <f t="shared" si="1"/>
        <v>1.32048585920736</v>
      </c>
      <c r="X92" s="27">
        <v>146201</v>
      </c>
      <c r="Y92" s="10">
        <v>89545.8</v>
      </c>
      <c r="Z92" s="10">
        <v>929</v>
      </c>
      <c r="AA92" s="10">
        <v>18186</v>
      </c>
      <c r="AB92" s="10"/>
    </row>
    <row r="93" ht="21" spans="1:28">
      <c r="A93" s="10">
        <v>2014</v>
      </c>
      <c r="B93" s="10">
        <v>130000</v>
      </c>
      <c r="C93" s="24" t="s">
        <v>47</v>
      </c>
      <c r="D93" s="10">
        <v>35736.2</v>
      </c>
      <c r="E93" s="10">
        <v>2204.74</v>
      </c>
      <c r="F93" s="10">
        <v>12.7</v>
      </c>
      <c r="G93" s="10">
        <v>35.9846</v>
      </c>
      <c r="H93" s="10">
        <v>956.126</v>
      </c>
      <c r="I93" s="10">
        <v>9.4171</v>
      </c>
      <c r="J93" s="10">
        <v>149.906</v>
      </c>
      <c r="K93" s="10">
        <v>728.09</v>
      </c>
      <c r="L93" s="10">
        <v>55.5717</v>
      </c>
      <c r="M93" s="10">
        <v>4.42196</v>
      </c>
      <c r="N93" s="10">
        <v>1629.74</v>
      </c>
      <c r="O93" s="10">
        <v>17.1368</v>
      </c>
      <c r="P93" s="10">
        <v>4034.11</v>
      </c>
      <c r="Q93" s="10">
        <v>6229.06</v>
      </c>
      <c r="R93" s="10">
        <v>750.288</v>
      </c>
      <c r="S93" s="25">
        <v>160.76</v>
      </c>
      <c r="T93" s="10">
        <v>2.291059</v>
      </c>
      <c r="U93" s="26">
        <v>8.5587</v>
      </c>
      <c r="V93" s="26">
        <v>656.179</v>
      </c>
      <c r="W93" s="27">
        <f t="shared" si="1"/>
        <v>1.30432397257456</v>
      </c>
      <c r="X93" s="27">
        <v>153111</v>
      </c>
      <c r="Y93" s="10">
        <v>100946</v>
      </c>
      <c r="Z93" s="10">
        <v>1094</v>
      </c>
      <c r="AA93" s="10">
        <v>20132</v>
      </c>
      <c r="AB93" s="10"/>
    </row>
    <row r="94" ht="21" spans="1:28">
      <c r="A94" s="10">
        <v>2015</v>
      </c>
      <c r="B94" s="10">
        <v>130000</v>
      </c>
      <c r="C94" s="24" t="s">
        <v>47</v>
      </c>
      <c r="D94" s="10">
        <v>36794</v>
      </c>
      <c r="E94" s="10">
        <v>2948.52</v>
      </c>
      <c r="F94" s="10">
        <v>19.2411</v>
      </c>
      <c r="G94" s="10">
        <v>60.4</v>
      </c>
      <c r="H94" s="10"/>
      <c r="I94" s="10">
        <v>11.9</v>
      </c>
      <c r="J94" s="10">
        <v>184.466</v>
      </c>
      <c r="K94" s="10">
        <v>866.46</v>
      </c>
      <c r="L94" s="10">
        <v>57</v>
      </c>
      <c r="M94" s="10">
        <v>6.6</v>
      </c>
      <c r="N94" s="10">
        <v>1439.96</v>
      </c>
      <c r="O94" s="10">
        <v>18.5238</v>
      </c>
      <c r="P94" s="10">
        <v>4588.67</v>
      </c>
      <c r="Q94" s="10">
        <v>6135.56</v>
      </c>
      <c r="R94" s="10">
        <v>821.951</v>
      </c>
      <c r="S94" s="25">
        <v>199.53</v>
      </c>
      <c r="T94" s="10">
        <v>3.777936</v>
      </c>
      <c r="U94" s="26">
        <v>8.8465</v>
      </c>
      <c r="V94" s="26">
        <v>643.647</v>
      </c>
      <c r="W94" s="27">
        <f t="shared" si="1"/>
        <v>1.37443350159326</v>
      </c>
      <c r="X94" s="27">
        <v>158486</v>
      </c>
      <c r="Y94" s="10">
        <v>106975</v>
      </c>
      <c r="Z94" s="10">
        <v>1245</v>
      </c>
      <c r="AA94" s="10">
        <v>30130</v>
      </c>
      <c r="AB94" s="10"/>
    </row>
    <row r="95" ht="21" spans="1:28">
      <c r="A95" s="10">
        <v>2016</v>
      </c>
      <c r="B95" s="10">
        <v>130000</v>
      </c>
      <c r="C95" s="24" t="s">
        <v>47</v>
      </c>
      <c r="D95" s="10">
        <v>36969.9</v>
      </c>
      <c r="E95" s="10">
        <v>3841.08</v>
      </c>
      <c r="F95" s="10">
        <v>25.6487</v>
      </c>
      <c r="G95" s="10">
        <v>74.9406</v>
      </c>
      <c r="H95" s="10"/>
      <c r="I95" s="10">
        <v>12.6574</v>
      </c>
      <c r="J95" s="10">
        <v>210.182</v>
      </c>
      <c r="K95" s="10">
        <v>623.2</v>
      </c>
      <c r="L95" s="10">
        <v>56.8</v>
      </c>
      <c r="M95" s="10">
        <v>8.4</v>
      </c>
      <c r="N95" s="10">
        <v>2416.07</v>
      </c>
      <c r="O95" s="10">
        <v>19.4504</v>
      </c>
      <c r="P95" s="10">
        <v>5518.33</v>
      </c>
      <c r="Q95" s="10">
        <v>7121.04</v>
      </c>
      <c r="R95" s="10">
        <v>755.59</v>
      </c>
      <c r="S95" s="25">
        <v>214.36</v>
      </c>
      <c r="T95" s="10">
        <v>6.486686</v>
      </c>
      <c r="U95" s="26">
        <v>8.4213</v>
      </c>
      <c r="V95" s="26">
        <v>639.621</v>
      </c>
      <c r="W95" s="27">
        <f t="shared" si="1"/>
        <v>1.31660780368374</v>
      </c>
      <c r="X95" s="27">
        <v>163600</v>
      </c>
      <c r="Y95" s="10">
        <v>111384</v>
      </c>
      <c r="Z95" s="10">
        <v>1385</v>
      </c>
      <c r="AA95" s="10">
        <v>31826</v>
      </c>
      <c r="AB95" s="10"/>
    </row>
    <row r="96" ht="21" spans="1:28">
      <c r="A96" s="10">
        <v>2017</v>
      </c>
      <c r="B96" s="10">
        <v>130000</v>
      </c>
      <c r="C96" s="24" t="s">
        <v>47</v>
      </c>
      <c r="D96" s="10">
        <v>38188.2</v>
      </c>
      <c r="E96" s="10">
        <v>4126.88</v>
      </c>
      <c r="F96" s="10">
        <v>28.9801</v>
      </c>
      <c r="G96" s="10">
        <v>63.7602</v>
      </c>
      <c r="H96" s="10">
        <v>965.308</v>
      </c>
      <c r="I96" s="10">
        <v>13.1471</v>
      </c>
      <c r="J96" s="10">
        <v>237.856</v>
      </c>
      <c r="K96" s="10">
        <v>1096.19</v>
      </c>
      <c r="L96" s="10">
        <v>57</v>
      </c>
      <c r="M96" s="10">
        <v>6.9</v>
      </c>
      <c r="N96" s="10">
        <v>2441.13</v>
      </c>
      <c r="O96" s="10">
        <v>21.3324</v>
      </c>
      <c r="P96" s="10">
        <v>6211.8</v>
      </c>
      <c r="Q96" s="10">
        <v>7581.78</v>
      </c>
      <c r="R96" s="10">
        <v>628.42</v>
      </c>
      <c r="S96" s="25">
        <v>258.17</v>
      </c>
      <c r="T96" s="10">
        <v>11.5344</v>
      </c>
      <c r="U96" s="26">
        <v>7.5299</v>
      </c>
      <c r="V96" s="26">
        <v>535.316</v>
      </c>
      <c r="W96" s="27">
        <f t="shared" si="1"/>
        <v>1.4066271137048</v>
      </c>
      <c r="X96" s="27">
        <v>170408</v>
      </c>
      <c r="Y96" s="10">
        <v>113191</v>
      </c>
      <c r="Z96" s="10">
        <v>1466</v>
      </c>
      <c r="AA96" s="10">
        <v>35348</v>
      </c>
      <c r="AB96" s="10"/>
    </row>
    <row r="97" ht="21" spans="1:28">
      <c r="A97" s="10">
        <v>2018</v>
      </c>
      <c r="B97" s="10">
        <v>130000</v>
      </c>
      <c r="C97" s="24" t="s">
        <v>47</v>
      </c>
      <c r="D97" s="10">
        <v>35102.4</v>
      </c>
      <c r="E97" s="10">
        <v>4192.38</v>
      </c>
      <c r="F97" s="10">
        <v>29.9499</v>
      </c>
      <c r="G97" s="10">
        <v>86.8084</v>
      </c>
      <c r="H97" s="10">
        <v>965.935</v>
      </c>
      <c r="I97" s="10">
        <v>12.274</v>
      </c>
      <c r="J97" s="10">
        <v>264.162</v>
      </c>
      <c r="K97" s="10">
        <v>2790.14</v>
      </c>
      <c r="L97" s="10">
        <v>56</v>
      </c>
      <c r="M97" s="10">
        <v>6.68468</v>
      </c>
      <c r="N97" s="10">
        <v>2556.11</v>
      </c>
      <c r="O97" s="10">
        <v>25.2376</v>
      </c>
      <c r="P97" s="10">
        <v>6505.32</v>
      </c>
      <c r="Q97" s="10">
        <v>8195.64</v>
      </c>
      <c r="R97" s="10">
        <v>653.17</v>
      </c>
      <c r="S97" s="25">
        <v>282.77</v>
      </c>
      <c r="T97" s="10">
        <v>13.35083</v>
      </c>
      <c r="U97" s="26">
        <v>8.3758</v>
      </c>
      <c r="V97" s="26">
        <v>550.338</v>
      </c>
      <c r="W97" s="27">
        <f t="shared" si="1"/>
        <v>1.52193742754453</v>
      </c>
      <c r="X97" s="27">
        <v>171447</v>
      </c>
      <c r="Y97" s="10">
        <v>103275</v>
      </c>
      <c r="Z97" s="10">
        <v>1123</v>
      </c>
      <c r="AA97" s="10">
        <v>51894</v>
      </c>
      <c r="AB97" s="10"/>
    </row>
    <row r="98" ht="21" spans="1:28">
      <c r="A98" s="10">
        <v>2019</v>
      </c>
      <c r="B98" s="10">
        <v>130000</v>
      </c>
      <c r="C98" s="24" t="s">
        <v>47</v>
      </c>
      <c r="D98" s="10">
        <v>37071.2</v>
      </c>
      <c r="E98" s="10">
        <v>4345.82</v>
      </c>
      <c r="F98" s="10">
        <v>37.2143</v>
      </c>
      <c r="G98" s="10">
        <v>138.385</v>
      </c>
      <c r="H98" s="10">
        <v>966.415</v>
      </c>
      <c r="I98" s="10">
        <v>13.8415</v>
      </c>
      <c r="J98" s="10">
        <v>326.666</v>
      </c>
      <c r="K98" s="10">
        <v>4741.94</v>
      </c>
      <c r="L98" s="10">
        <v>55.1</v>
      </c>
      <c r="M98" s="10">
        <v>7.1</v>
      </c>
      <c r="N98" s="10">
        <v>2726.32</v>
      </c>
      <c r="O98" s="10">
        <v>28.0391</v>
      </c>
      <c r="P98" s="10">
        <v>6915.15</v>
      </c>
      <c r="Q98" s="10">
        <v>8315.6</v>
      </c>
      <c r="R98" s="10">
        <v>570.82</v>
      </c>
      <c r="S98" s="25">
        <v>305.06</v>
      </c>
      <c r="T98" s="10">
        <v>19.8166</v>
      </c>
      <c r="U98" s="26">
        <v>10.1197</v>
      </c>
      <c r="V98" s="26">
        <v>576.028</v>
      </c>
      <c r="W98" s="27">
        <f t="shared" si="1"/>
        <v>1.75680696077274</v>
      </c>
      <c r="X98" s="27">
        <v>174547</v>
      </c>
      <c r="Y98" s="10">
        <v>111799</v>
      </c>
      <c r="Z98" s="10">
        <v>2154</v>
      </c>
      <c r="AA98" s="10">
        <v>57809</v>
      </c>
      <c r="AB98" s="10"/>
    </row>
    <row r="99" ht="21" spans="1:28">
      <c r="A99" s="10">
        <v>2020</v>
      </c>
      <c r="B99" s="10">
        <v>130000</v>
      </c>
      <c r="C99" s="24" t="s">
        <v>47</v>
      </c>
      <c r="D99" s="10">
        <v>37419</v>
      </c>
      <c r="E99" s="10">
        <v>4598.2</v>
      </c>
      <c r="F99" s="10">
        <v>42.8</v>
      </c>
      <c r="G99" s="10">
        <v>100.2</v>
      </c>
      <c r="H99" s="10">
        <v>970.9</v>
      </c>
      <c r="I99" s="10">
        <v>15.409</v>
      </c>
      <c r="J99" s="10">
        <v>170.4</v>
      </c>
      <c r="K99" s="10">
        <v>5971.71</v>
      </c>
      <c r="L99" s="10">
        <v>51</v>
      </c>
      <c r="M99" s="10">
        <v>7.7</v>
      </c>
      <c r="N99" s="10">
        <v>4402.3</v>
      </c>
      <c r="O99" s="10">
        <v>31</v>
      </c>
      <c r="P99" s="10">
        <v>7104</v>
      </c>
      <c r="Q99" s="10">
        <v>8336</v>
      </c>
      <c r="R99" s="10">
        <v>594.81</v>
      </c>
      <c r="S99" s="25">
        <v>322.7</v>
      </c>
      <c r="T99" s="10">
        <v>30.60865</v>
      </c>
      <c r="U99" s="26">
        <v>10.409</v>
      </c>
      <c r="V99" s="26">
        <v>561.244</v>
      </c>
      <c r="W99" s="27">
        <f t="shared" si="1"/>
        <v>1.85463007176914</v>
      </c>
      <c r="X99" s="27">
        <v>192224</v>
      </c>
      <c r="Y99" s="10">
        <v>125058</v>
      </c>
      <c r="Z99" s="10">
        <v>2555</v>
      </c>
      <c r="AA99" s="10">
        <v>92196</v>
      </c>
      <c r="AB99" s="10"/>
    </row>
    <row r="100" ht="21" spans="1:28">
      <c r="A100" s="10">
        <v>2021</v>
      </c>
      <c r="B100" s="10">
        <v>130000</v>
      </c>
      <c r="C100" s="24" t="s">
        <v>47</v>
      </c>
      <c r="D100" s="10">
        <v>37448.5</v>
      </c>
      <c r="E100" s="10">
        <v>5012.45</v>
      </c>
      <c r="F100" s="10">
        <v>44.7148</v>
      </c>
      <c r="G100" s="10">
        <v>81.3126</v>
      </c>
      <c r="H100" s="10">
        <v>965.235</v>
      </c>
      <c r="I100" s="10">
        <v>16.0328</v>
      </c>
      <c r="J100" s="10">
        <v>442.965</v>
      </c>
      <c r="K100" s="10">
        <v>756.64</v>
      </c>
      <c r="L100" s="10">
        <v>50</v>
      </c>
      <c r="M100" s="10">
        <v>7.5</v>
      </c>
      <c r="N100" s="10">
        <v>3790.82</v>
      </c>
      <c r="O100" s="10">
        <v>32.2187</v>
      </c>
      <c r="P100" s="10">
        <v>7512.48</v>
      </c>
      <c r="Q100" s="10">
        <v>8643.53</v>
      </c>
      <c r="R100" s="10">
        <v>599.02</v>
      </c>
      <c r="S100" s="25">
        <v>340.99</v>
      </c>
      <c r="T100" s="10">
        <v>31.57532</v>
      </c>
      <c r="U100" s="26">
        <v>12.2108</v>
      </c>
      <c r="V100" s="26">
        <v>565.953</v>
      </c>
      <c r="W100" s="27">
        <f t="shared" si="1"/>
        <v>2.15756432071214</v>
      </c>
      <c r="X100" s="27">
        <v>198519</v>
      </c>
      <c r="Y100" s="10">
        <v>125609</v>
      </c>
      <c r="Z100" s="10">
        <v>2816</v>
      </c>
      <c r="AA100" s="10">
        <v>120034</v>
      </c>
      <c r="AB100" s="10"/>
    </row>
    <row r="101" ht="21" spans="1:28">
      <c r="A101" s="10">
        <v>2022</v>
      </c>
      <c r="B101" s="10">
        <v>130000</v>
      </c>
      <c r="C101" s="24" t="s">
        <v>47</v>
      </c>
      <c r="D101" s="10">
        <v>38449.9</v>
      </c>
      <c r="E101" s="10">
        <v>5321.74</v>
      </c>
      <c r="F101" s="10">
        <v>48.5984</v>
      </c>
      <c r="G101" s="10">
        <v>55.5914</v>
      </c>
      <c r="H101" s="10">
        <v>978.199</v>
      </c>
      <c r="I101" s="10">
        <v>15.5595</v>
      </c>
      <c r="J101" s="10">
        <v>536.76</v>
      </c>
      <c r="K101" s="10">
        <v>751.429</v>
      </c>
      <c r="L101" s="10">
        <v>43</v>
      </c>
      <c r="M101" s="10">
        <v>6.76124</v>
      </c>
      <c r="N101" s="10">
        <v>3524.84</v>
      </c>
      <c r="O101" s="10">
        <v>33.4714</v>
      </c>
      <c r="P101" s="10">
        <v>7578.8</v>
      </c>
      <c r="Q101" s="10">
        <v>8733.28</v>
      </c>
      <c r="R101" s="10">
        <v>587.357</v>
      </c>
      <c r="S101" s="25">
        <v>359.67</v>
      </c>
      <c r="T101" s="10">
        <v>32.0922</v>
      </c>
      <c r="U101" s="26">
        <v>11.9885</v>
      </c>
      <c r="V101" s="26">
        <v>561.146</v>
      </c>
      <c r="W101" s="27">
        <f t="shared" si="1"/>
        <v>2.13643151693142</v>
      </c>
      <c r="X101" s="27">
        <v>225861</v>
      </c>
      <c r="Y101" s="10">
        <v>158713</v>
      </c>
      <c r="Z101" s="10">
        <v>5010</v>
      </c>
      <c r="AA101" s="10">
        <v>115314</v>
      </c>
      <c r="AB101" s="10"/>
    </row>
    <row r="102" ht="21" spans="1:28">
      <c r="A102" s="10">
        <v>2023</v>
      </c>
      <c r="B102" s="10">
        <v>130000</v>
      </c>
      <c r="C102" s="24" t="s">
        <v>47</v>
      </c>
      <c r="D102" s="10">
        <v>38967</v>
      </c>
      <c r="E102" s="10">
        <v>5480.5</v>
      </c>
      <c r="F102" s="10">
        <v>55.1</v>
      </c>
      <c r="G102" s="10">
        <v>53</v>
      </c>
      <c r="H102" s="10">
        <v>964.191</v>
      </c>
      <c r="I102" s="10">
        <v>13.0142</v>
      </c>
      <c r="J102" s="10">
        <v>657.21</v>
      </c>
      <c r="K102" s="10">
        <v>783.54</v>
      </c>
      <c r="L102" s="10">
        <v>40.5644</v>
      </c>
      <c r="M102" s="10">
        <v>9.76399</v>
      </c>
      <c r="N102" s="10">
        <v>3920.81</v>
      </c>
      <c r="O102" s="10">
        <v>35.1076</v>
      </c>
      <c r="P102" s="10">
        <v>7892.9</v>
      </c>
      <c r="Q102" s="10">
        <v>8851.6</v>
      </c>
      <c r="R102" s="10"/>
      <c r="S102" s="25">
        <v>379.33</v>
      </c>
      <c r="T102" s="10">
        <v>36.63917</v>
      </c>
      <c r="U102" s="26">
        <v>13.1028</v>
      </c>
      <c r="V102" s="26">
        <v>554.694</v>
      </c>
      <c r="W102" s="27">
        <f t="shared" si="1"/>
        <v>2.3621672489697</v>
      </c>
      <c r="X102" s="27">
        <v>243685</v>
      </c>
      <c r="Y102" s="10">
        <v>178016</v>
      </c>
      <c r="Z102" s="10">
        <v>5684</v>
      </c>
      <c r="AA102" s="10">
        <v>92009</v>
      </c>
      <c r="AB102" s="10"/>
    </row>
    <row r="103" ht="21" spans="1:28">
      <c r="A103" s="10">
        <v>2013</v>
      </c>
      <c r="B103" s="10">
        <v>410000</v>
      </c>
      <c r="C103" s="24" t="s">
        <v>48</v>
      </c>
      <c r="D103" s="10">
        <v>31413</v>
      </c>
      <c r="E103" s="10">
        <v>1747</v>
      </c>
      <c r="F103" s="10">
        <v>12.5882</v>
      </c>
      <c r="G103" s="10">
        <v>36.7511</v>
      </c>
      <c r="H103" s="10">
        <v>359.424</v>
      </c>
      <c r="I103" s="10">
        <v>11.1152</v>
      </c>
      <c r="J103" s="10">
        <v>193.25</v>
      </c>
      <c r="K103" s="10">
        <v>745.373</v>
      </c>
      <c r="L103" s="10">
        <v>49.3503</v>
      </c>
      <c r="M103" s="10">
        <v>2.81335</v>
      </c>
      <c r="N103" s="10">
        <v>1831.85</v>
      </c>
      <c r="O103" s="10">
        <v>11.627</v>
      </c>
      <c r="P103" s="10"/>
      <c r="Q103" s="10">
        <v>7200.2</v>
      </c>
      <c r="R103" s="10">
        <v>369.1</v>
      </c>
      <c r="S103" s="25">
        <v>142.08</v>
      </c>
      <c r="T103" s="10">
        <v>2.915224</v>
      </c>
      <c r="U103" s="26">
        <v>9.4622</v>
      </c>
      <c r="V103" s="26">
        <v>1075.99</v>
      </c>
      <c r="W103" s="27">
        <f t="shared" si="1"/>
        <v>0.879394789914404</v>
      </c>
      <c r="X103" s="27">
        <v>184178</v>
      </c>
      <c r="Y103" s="10">
        <v>152252</v>
      </c>
      <c r="Z103" s="10">
        <v>1577</v>
      </c>
      <c r="AA103" s="10">
        <v>29482</v>
      </c>
      <c r="AB103" s="10"/>
    </row>
    <row r="104" ht="21" spans="1:28">
      <c r="A104" s="10">
        <v>2014</v>
      </c>
      <c r="B104" s="10">
        <v>410000</v>
      </c>
      <c r="C104" s="24" t="s">
        <v>48</v>
      </c>
      <c r="D104" s="10">
        <v>31430.3</v>
      </c>
      <c r="E104" s="10">
        <v>2016.41</v>
      </c>
      <c r="F104" s="10">
        <v>18.2</v>
      </c>
      <c r="G104" s="10">
        <v>63.2911</v>
      </c>
      <c r="H104" s="10">
        <v>886.409</v>
      </c>
      <c r="I104" s="10">
        <v>12.3824</v>
      </c>
      <c r="J104" s="10">
        <v>233.922</v>
      </c>
      <c r="K104" s="10">
        <v>894.52</v>
      </c>
      <c r="L104" s="10">
        <v>50.358</v>
      </c>
      <c r="M104" s="10">
        <v>3.98524</v>
      </c>
      <c r="N104" s="10">
        <v>2830.43</v>
      </c>
      <c r="O104" s="10">
        <v>12.5259</v>
      </c>
      <c r="P104" s="10">
        <v>4483.28</v>
      </c>
      <c r="Q104" s="10">
        <v>7712.93</v>
      </c>
      <c r="R104" s="10">
        <v>452.849</v>
      </c>
      <c r="S104" s="25">
        <v>166.65</v>
      </c>
      <c r="T104" s="10">
        <v>3.152231</v>
      </c>
      <c r="U104" s="26">
        <v>9.7236</v>
      </c>
      <c r="V104" s="26">
        <v>1108.89</v>
      </c>
      <c r="W104" s="27">
        <f t="shared" si="1"/>
        <v>0.876876876876877</v>
      </c>
      <c r="X104" s="27">
        <v>208915</v>
      </c>
      <c r="Y104" s="10">
        <v>161444</v>
      </c>
      <c r="Z104" s="10">
        <v>1687</v>
      </c>
      <c r="AA104" s="10">
        <v>33366</v>
      </c>
      <c r="AB104" s="10"/>
    </row>
    <row r="105" ht="21" spans="1:28">
      <c r="A105" s="10">
        <v>2015</v>
      </c>
      <c r="B105" s="10">
        <v>410000</v>
      </c>
      <c r="C105" s="24" t="s">
        <v>48</v>
      </c>
      <c r="D105" s="10">
        <v>33578</v>
      </c>
      <c r="E105" s="10">
        <v>3241.88</v>
      </c>
      <c r="F105" s="10">
        <v>24.9697</v>
      </c>
      <c r="G105" s="10">
        <v>103.2</v>
      </c>
      <c r="H105" s="10"/>
      <c r="I105" s="10">
        <v>16.6</v>
      </c>
      <c r="J105" s="10">
        <v>278.544</v>
      </c>
      <c r="K105" s="10">
        <v>1164.37</v>
      </c>
      <c r="L105" s="10">
        <v>49</v>
      </c>
      <c r="M105" s="10">
        <v>5.5</v>
      </c>
      <c r="N105" s="10">
        <v>3639.25</v>
      </c>
      <c r="O105" s="10">
        <v>13.0808</v>
      </c>
      <c r="P105" s="10">
        <v>5398.41</v>
      </c>
      <c r="Q105" s="10">
        <v>7537.42</v>
      </c>
      <c r="R105" s="10">
        <v>586.745</v>
      </c>
      <c r="S105" s="25">
        <v>205.34</v>
      </c>
      <c r="T105" s="10">
        <v>5.194618</v>
      </c>
      <c r="U105" s="26">
        <v>10.4292</v>
      </c>
      <c r="V105" s="26">
        <v>1125.85</v>
      </c>
      <c r="W105" s="27">
        <f t="shared" si="1"/>
        <v>0.926340098592175</v>
      </c>
      <c r="X105" s="27">
        <v>222696</v>
      </c>
      <c r="Y105" s="10">
        <v>158858</v>
      </c>
      <c r="Z105" s="10">
        <v>1997</v>
      </c>
      <c r="AA105" s="10">
        <v>47766</v>
      </c>
      <c r="AB105" s="10"/>
    </row>
    <row r="106" ht="21" spans="1:28">
      <c r="A106" s="10">
        <v>2016</v>
      </c>
      <c r="B106" s="10">
        <v>410000</v>
      </c>
      <c r="C106" s="24" t="s">
        <v>48</v>
      </c>
      <c r="D106" s="10">
        <v>32533</v>
      </c>
      <c r="E106" s="10">
        <v>4345.79</v>
      </c>
      <c r="F106" s="10">
        <v>30.1479</v>
      </c>
      <c r="G106" s="10">
        <v>117.748</v>
      </c>
      <c r="H106" s="10"/>
      <c r="I106" s="10">
        <v>20.037</v>
      </c>
      <c r="J106" s="10">
        <v>296.354</v>
      </c>
      <c r="K106" s="10">
        <v>757.67</v>
      </c>
      <c r="L106" s="10">
        <v>45.1</v>
      </c>
      <c r="M106" s="10">
        <v>6.8</v>
      </c>
      <c r="N106" s="10">
        <v>4135.32</v>
      </c>
      <c r="O106" s="10">
        <v>13.6523</v>
      </c>
      <c r="P106" s="10">
        <v>6378.26</v>
      </c>
      <c r="Q106" s="10">
        <v>7889.01</v>
      </c>
      <c r="R106" s="10">
        <v>777.24</v>
      </c>
      <c r="S106" s="25">
        <v>223.12</v>
      </c>
      <c r="T106" s="10">
        <v>11.53212</v>
      </c>
      <c r="U106" s="26">
        <v>12.1649</v>
      </c>
      <c r="V106" s="26">
        <v>1144.99</v>
      </c>
      <c r="W106" s="27">
        <f t="shared" si="1"/>
        <v>1.06244596022673</v>
      </c>
      <c r="X106" s="27">
        <v>242816</v>
      </c>
      <c r="Y106" s="10">
        <v>166279</v>
      </c>
      <c r="Z106" s="10">
        <v>2229</v>
      </c>
      <c r="AA106" s="10">
        <v>49145</v>
      </c>
      <c r="AB106" s="10"/>
    </row>
    <row r="107" ht="21" spans="1:28">
      <c r="A107" s="10">
        <v>2017</v>
      </c>
      <c r="B107" s="10">
        <v>410000</v>
      </c>
      <c r="C107" s="24" t="s">
        <v>48</v>
      </c>
      <c r="D107" s="10">
        <v>34589</v>
      </c>
      <c r="E107" s="10">
        <v>4475.85</v>
      </c>
      <c r="F107" s="10">
        <v>33.3897</v>
      </c>
      <c r="G107" s="10">
        <v>123.175</v>
      </c>
      <c r="H107" s="10">
        <v>890.793</v>
      </c>
      <c r="I107" s="10">
        <v>23.5364</v>
      </c>
      <c r="J107" s="10">
        <v>306.683</v>
      </c>
      <c r="K107" s="10">
        <v>1484.62</v>
      </c>
      <c r="L107" s="10">
        <v>47</v>
      </c>
      <c r="M107" s="10">
        <v>6.3</v>
      </c>
      <c r="N107" s="10">
        <v>4407.43</v>
      </c>
      <c r="O107" s="10">
        <v>14.3036</v>
      </c>
      <c r="P107" s="10">
        <v>7542.45</v>
      </c>
      <c r="Q107" s="10">
        <v>8553.36</v>
      </c>
      <c r="R107" s="10">
        <v>804.42</v>
      </c>
      <c r="S107" s="25">
        <v>266.92</v>
      </c>
      <c r="T107" s="10">
        <v>24.67582</v>
      </c>
      <c r="U107" s="26">
        <v>13.2086</v>
      </c>
      <c r="V107" s="26">
        <v>1129.35</v>
      </c>
      <c r="W107" s="27">
        <f t="shared" si="1"/>
        <v>1.16957541948909</v>
      </c>
      <c r="X107" s="27">
        <v>253804</v>
      </c>
      <c r="Y107" s="10">
        <v>162504</v>
      </c>
      <c r="Z107" s="10">
        <v>2397</v>
      </c>
      <c r="AA107" s="10">
        <v>55407</v>
      </c>
      <c r="AB107" s="10"/>
    </row>
    <row r="108" ht="21" spans="1:28">
      <c r="A108" s="10">
        <v>2018</v>
      </c>
      <c r="B108" s="10">
        <v>410000</v>
      </c>
      <c r="C108" s="24" t="s">
        <v>48</v>
      </c>
      <c r="D108" s="10">
        <v>34123.6</v>
      </c>
      <c r="E108" s="10">
        <v>4780.81</v>
      </c>
      <c r="F108" s="10">
        <v>33.7583</v>
      </c>
      <c r="G108" s="10">
        <v>207.48</v>
      </c>
      <c r="H108" s="10">
        <v>891.372</v>
      </c>
      <c r="I108" s="10">
        <v>24.8896</v>
      </c>
      <c r="J108" s="10">
        <v>336.431</v>
      </c>
      <c r="K108" s="10">
        <v>3950.31</v>
      </c>
      <c r="L108" s="10">
        <v>48</v>
      </c>
      <c r="M108" s="10">
        <v>6.78914</v>
      </c>
      <c r="N108" s="10">
        <v>5183.95</v>
      </c>
      <c r="O108" s="10">
        <v>17.0891</v>
      </c>
      <c r="P108" s="10">
        <v>7766.49</v>
      </c>
      <c r="Q108" s="10">
        <v>9354.14</v>
      </c>
      <c r="R108" s="10">
        <v>811.71</v>
      </c>
      <c r="S108" s="25">
        <v>295.76</v>
      </c>
      <c r="T108" s="10">
        <v>29.25078</v>
      </c>
      <c r="U108" s="26">
        <v>12.8302</v>
      </c>
      <c r="V108" s="26">
        <v>967.344</v>
      </c>
      <c r="W108" s="27">
        <f t="shared" si="1"/>
        <v>1.32633272134835</v>
      </c>
      <c r="X108" s="27">
        <v>262013</v>
      </c>
      <c r="Y108" s="10">
        <v>166807</v>
      </c>
      <c r="Z108" s="10">
        <v>1854</v>
      </c>
      <c r="AA108" s="10">
        <v>82318</v>
      </c>
      <c r="AB108" s="10"/>
    </row>
    <row r="109" ht="21" spans="1:28">
      <c r="A109" s="10">
        <v>2019</v>
      </c>
      <c r="B109" s="10">
        <v>410000</v>
      </c>
      <c r="C109" s="24" t="s">
        <v>48</v>
      </c>
      <c r="D109" s="10">
        <v>35017</v>
      </c>
      <c r="E109" s="10">
        <v>4752.84</v>
      </c>
      <c r="F109" s="10">
        <v>42.986</v>
      </c>
      <c r="G109" s="10">
        <v>313.525</v>
      </c>
      <c r="H109" s="10">
        <v>891.815</v>
      </c>
      <c r="I109" s="10">
        <v>22.9996</v>
      </c>
      <c r="J109" s="10">
        <v>352.129</v>
      </c>
      <c r="K109" s="10">
        <v>5999.12</v>
      </c>
      <c r="L109" s="10">
        <v>44.9</v>
      </c>
      <c r="M109" s="10">
        <v>7</v>
      </c>
      <c r="N109" s="10">
        <v>4262.26</v>
      </c>
      <c r="O109" s="10">
        <v>18.9102</v>
      </c>
      <c r="P109" s="10">
        <v>8245.69</v>
      </c>
      <c r="Q109" s="10">
        <v>9841.08</v>
      </c>
      <c r="R109" s="10">
        <v>784.9</v>
      </c>
      <c r="S109" s="25">
        <v>322.12</v>
      </c>
      <c r="T109" s="10">
        <v>28.55343</v>
      </c>
      <c r="U109" s="26">
        <v>16.6283</v>
      </c>
      <c r="V109" s="26">
        <v>967.969</v>
      </c>
      <c r="W109" s="27">
        <f t="shared" si="1"/>
        <v>1.71785460071552</v>
      </c>
      <c r="X109" s="27">
        <v>276666</v>
      </c>
      <c r="Y109" s="10">
        <v>191570</v>
      </c>
      <c r="Z109" s="10">
        <v>2141</v>
      </c>
      <c r="AA109" s="10">
        <v>86247</v>
      </c>
      <c r="AB109" s="10"/>
    </row>
    <row r="110" ht="21" spans="1:28">
      <c r="A110" s="10">
        <v>2020</v>
      </c>
      <c r="B110" s="10">
        <v>410000</v>
      </c>
      <c r="C110" s="24" t="s">
        <v>48</v>
      </c>
      <c r="D110" s="10">
        <v>35898</v>
      </c>
      <c r="E110" s="10">
        <v>4934.5</v>
      </c>
      <c r="F110" s="10">
        <v>49.4</v>
      </c>
      <c r="G110" s="10">
        <v>273</v>
      </c>
      <c r="H110" s="10">
        <v>896</v>
      </c>
      <c r="I110" s="10">
        <v>21.1097</v>
      </c>
      <c r="J110" s="10">
        <v>404.6</v>
      </c>
      <c r="K110" s="10">
        <v>8156.78</v>
      </c>
      <c r="L110" s="10">
        <v>43</v>
      </c>
      <c r="M110" s="10">
        <v>7.5</v>
      </c>
      <c r="N110" s="10">
        <v>4254.2</v>
      </c>
      <c r="O110" s="10">
        <v>21</v>
      </c>
      <c r="P110" s="10">
        <v>8748.7</v>
      </c>
      <c r="Q110" s="10">
        <v>10051.4</v>
      </c>
      <c r="R110" s="10">
        <v>696.07</v>
      </c>
      <c r="S110" s="25">
        <v>340.81</v>
      </c>
      <c r="T110" s="10">
        <v>45.80994</v>
      </c>
      <c r="U110" s="26">
        <v>18.2755</v>
      </c>
      <c r="V110" s="26">
        <v>964.888</v>
      </c>
      <c r="W110" s="27">
        <f t="shared" si="1"/>
        <v>1.8940540249231</v>
      </c>
      <c r="X110" s="27">
        <v>302728</v>
      </c>
      <c r="Y110" s="10">
        <v>203080</v>
      </c>
      <c r="Z110" s="10">
        <v>2234</v>
      </c>
      <c r="AA110" s="10">
        <v>122809</v>
      </c>
      <c r="AB110" s="10"/>
    </row>
    <row r="111" ht="21" spans="1:28">
      <c r="A111" s="10">
        <v>2021</v>
      </c>
      <c r="B111" s="10">
        <v>410000</v>
      </c>
      <c r="C111" s="24" t="s">
        <v>48</v>
      </c>
      <c r="D111" s="10">
        <v>39280.1</v>
      </c>
      <c r="E111" s="10">
        <v>5630.98</v>
      </c>
      <c r="F111" s="10">
        <v>52.6428</v>
      </c>
      <c r="G111" s="10">
        <v>130.082</v>
      </c>
      <c r="H111" s="10">
        <v>891.674</v>
      </c>
      <c r="I111" s="10">
        <v>21.4582</v>
      </c>
      <c r="J111" s="10">
        <v>452.467</v>
      </c>
      <c r="K111" s="10">
        <v>994.71</v>
      </c>
      <c r="L111" s="10">
        <v>39.5</v>
      </c>
      <c r="M111" s="10">
        <v>7.1</v>
      </c>
      <c r="N111" s="10">
        <v>5088.33</v>
      </c>
      <c r="O111" s="10">
        <v>22.2652</v>
      </c>
      <c r="P111" s="10">
        <v>9136.57</v>
      </c>
      <c r="Q111" s="10">
        <v>10352.6</v>
      </c>
      <c r="R111" s="10">
        <v>642.22</v>
      </c>
      <c r="S111" s="25">
        <v>360.18</v>
      </c>
      <c r="T111" s="10">
        <v>40.53761</v>
      </c>
      <c r="U111" s="26">
        <v>18.2175</v>
      </c>
      <c r="V111" s="26">
        <v>915.375</v>
      </c>
      <c r="W111" s="27">
        <f t="shared" si="1"/>
        <v>1.9901679639492</v>
      </c>
      <c r="X111" s="27">
        <v>305896</v>
      </c>
      <c r="Y111" s="10">
        <v>222433</v>
      </c>
      <c r="Z111" s="10">
        <v>3302</v>
      </c>
      <c r="AA111" s="10">
        <v>158038</v>
      </c>
      <c r="AB111" s="10"/>
    </row>
    <row r="112" ht="21" spans="1:28">
      <c r="A112" s="10">
        <v>2022</v>
      </c>
      <c r="B112" s="10">
        <v>410000</v>
      </c>
      <c r="C112" s="24" t="s">
        <v>48</v>
      </c>
      <c r="D112" s="10">
        <v>40451.9</v>
      </c>
      <c r="E112" s="10">
        <v>6228.65</v>
      </c>
      <c r="F112" s="10">
        <v>57.2462</v>
      </c>
      <c r="G112" s="10">
        <v>94.2026</v>
      </c>
      <c r="H112" s="10">
        <v>902.689</v>
      </c>
      <c r="I112" s="10">
        <v>19.106</v>
      </c>
      <c r="J112" s="10">
        <v>596.449</v>
      </c>
      <c r="K112" s="10">
        <v>1015.45</v>
      </c>
      <c r="L112" s="10">
        <v>36.2</v>
      </c>
      <c r="M112" s="10">
        <v>5.62742</v>
      </c>
      <c r="N112" s="10">
        <v>5947.02</v>
      </c>
      <c r="O112" s="10">
        <v>23.7557</v>
      </c>
      <c r="P112" s="10">
        <v>9400.9</v>
      </c>
      <c r="Q112" s="10">
        <v>10643.1</v>
      </c>
      <c r="R112" s="10">
        <v>619.126</v>
      </c>
      <c r="S112" s="25">
        <v>380.15</v>
      </c>
      <c r="T112" s="10">
        <v>39.78873</v>
      </c>
      <c r="U112" s="26">
        <v>18.58</v>
      </c>
      <c r="V112" s="26">
        <v>873.896</v>
      </c>
      <c r="W112" s="27">
        <f t="shared" si="1"/>
        <v>2.12611111619689</v>
      </c>
      <c r="X112" s="27">
        <v>343607</v>
      </c>
      <c r="Y112" s="10">
        <v>236800</v>
      </c>
      <c r="Z112" s="10">
        <v>4800</v>
      </c>
      <c r="AA112" s="10">
        <v>135990</v>
      </c>
      <c r="AB112" s="10"/>
    </row>
    <row r="113" ht="21" spans="1:28">
      <c r="A113" s="10">
        <v>2023</v>
      </c>
      <c r="B113" s="10">
        <v>410000</v>
      </c>
      <c r="C113" s="24" t="s">
        <v>48</v>
      </c>
      <c r="D113" s="10">
        <v>42508</v>
      </c>
      <c r="E113" s="10">
        <v>6624.9</v>
      </c>
      <c r="F113" s="10">
        <v>57.4</v>
      </c>
      <c r="G113" s="10">
        <v>91.9</v>
      </c>
      <c r="H113" s="10">
        <v>892.134</v>
      </c>
      <c r="I113" s="10">
        <v>18.057</v>
      </c>
      <c r="J113" s="10">
        <v>767.06</v>
      </c>
      <c r="K113" s="10">
        <v>1043.12</v>
      </c>
      <c r="L113" s="10">
        <v>35.4133</v>
      </c>
      <c r="M113" s="10">
        <v>9.05804</v>
      </c>
      <c r="N113" s="10">
        <v>9813.26</v>
      </c>
      <c r="O113" s="10">
        <v>29.5137</v>
      </c>
      <c r="P113" s="10">
        <v>9729.6</v>
      </c>
      <c r="Q113" s="10">
        <v>10932.1</v>
      </c>
      <c r="R113" s="10"/>
      <c r="S113" s="25">
        <v>400.86</v>
      </c>
      <c r="T113" s="10">
        <v>43.93354</v>
      </c>
      <c r="U113" s="26">
        <v>18.6761</v>
      </c>
      <c r="V113" s="26">
        <v>786.86</v>
      </c>
      <c r="W113" s="27">
        <f t="shared" si="1"/>
        <v>2.37349719136822</v>
      </c>
      <c r="X113" s="27">
        <v>352802</v>
      </c>
      <c r="Y113" s="10">
        <v>244566</v>
      </c>
      <c r="Z113" s="10">
        <v>4470</v>
      </c>
      <c r="AA113" s="10">
        <v>109957</v>
      </c>
      <c r="AB113" s="10"/>
    </row>
    <row r="114" ht="21" spans="1:28">
      <c r="A114" s="10">
        <v>2013</v>
      </c>
      <c r="B114" s="10">
        <v>230000</v>
      </c>
      <c r="C114" s="24" t="s">
        <v>49</v>
      </c>
      <c r="D114" s="10">
        <v>45194</v>
      </c>
      <c r="E114" s="10">
        <v>865.2</v>
      </c>
      <c r="F114" s="10">
        <v>5.5053</v>
      </c>
      <c r="G114" s="10">
        <v>85.7496</v>
      </c>
      <c r="H114" s="10">
        <v>422.195</v>
      </c>
      <c r="I114" s="10">
        <v>2.7141</v>
      </c>
      <c r="J114" s="10">
        <v>118.216</v>
      </c>
      <c r="K114" s="10">
        <v>338.157</v>
      </c>
      <c r="L114" s="10">
        <v>37.9424</v>
      </c>
      <c r="M114" s="10">
        <v>1.50069</v>
      </c>
      <c r="N114" s="10">
        <v>364.438</v>
      </c>
      <c r="O114" s="10">
        <v>19.4487</v>
      </c>
      <c r="P114" s="10"/>
      <c r="Q114" s="10">
        <v>3020.4</v>
      </c>
      <c r="R114" s="10">
        <v>620.73</v>
      </c>
      <c r="S114" s="25">
        <v>141.4</v>
      </c>
      <c r="T114" s="10">
        <v>1.889866</v>
      </c>
      <c r="U114" s="26">
        <v>7.1042</v>
      </c>
      <c r="V114" s="26">
        <v>467.791</v>
      </c>
      <c r="W114" s="27">
        <f t="shared" si="1"/>
        <v>1.51866966230646</v>
      </c>
      <c r="X114" s="27">
        <v>116544</v>
      </c>
      <c r="Y114" s="10">
        <v>62659.5</v>
      </c>
      <c r="Z114" s="10">
        <v>258</v>
      </c>
      <c r="AA114" s="10">
        <v>19819</v>
      </c>
      <c r="AB114" s="10"/>
    </row>
    <row r="115" ht="21" spans="1:28">
      <c r="A115" s="10">
        <v>2014</v>
      </c>
      <c r="B115" s="10">
        <v>230000</v>
      </c>
      <c r="C115" s="24" t="s">
        <v>49</v>
      </c>
      <c r="D115" s="10">
        <v>45619.4</v>
      </c>
      <c r="E115" s="10">
        <v>1044</v>
      </c>
      <c r="F115" s="10">
        <v>8.1</v>
      </c>
      <c r="G115" s="10">
        <v>79.0851</v>
      </c>
      <c r="H115" s="10">
        <v>405.026</v>
      </c>
      <c r="I115" s="10">
        <v>2.816</v>
      </c>
      <c r="J115" s="10">
        <v>133.308</v>
      </c>
      <c r="K115" s="10">
        <v>385.92</v>
      </c>
      <c r="L115" s="10">
        <v>46.0635</v>
      </c>
      <c r="M115" s="10">
        <v>2.92791</v>
      </c>
      <c r="N115" s="10">
        <v>210.787</v>
      </c>
      <c r="O115" s="10">
        <v>21.853</v>
      </c>
      <c r="P115" s="10">
        <v>2015.85</v>
      </c>
      <c r="Q115" s="10">
        <v>3457.76</v>
      </c>
      <c r="R115" s="10">
        <v>701.398</v>
      </c>
      <c r="S115" s="25">
        <v>167.8</v>
      </c>
      <c r="T115" s="10">
        <v>2.096681</v>
      </c>
      <c r="U115" s="26">
        <v>7.6385</v>
      </c>
      <c r="V115" s="26">
        <v>450.883</v>
      </c>
      <c r="W115" s="27">
        <f t="shared" si="1"/>
        <v>1.69412020413278</v>
      </c>
      <c r="X115" s="27">
        <v>119246</v>
      </c>
      <c r="Y115" s="10">
        <v>62648</v>
      </c>
      <c r="Z115" s="10">
        <v>260</v>
      </c>
      <c r="AA115" s="10">
        <v>15412</v>
      </c>
      <c r="AB115" s="10"/>
    </row>
    <row r="116" ht="21" spans="1:28">
      <c r="A116" s="10">
        <v>2015</v>
      </c>
      <c r="B116" s="10">
        <v>230000</v>
      </c>
      <c r="C116" s="24" t="s">
        <v>49</v>
      </c>
      <c r="D116" s="10">
        <v>46513</v>
      </c>
      <c r="E116" s="10">
        <v>1308.82</v>
      </c>
      <c r="F116" s="10">
        <v>9.9886</v>
      </c>
      <c r="G116" s="10">
        <v>72.1</v>
      </c>
      <c r="H116" s="10"/>
      <c r="I116" s="10">
        <v>3.7</v>
      </c>
      <c r="J116" s="10">
        <v>150.669</v>
      </c>
      <c r="K116" s="10">
        <v>459.29</v>
      </c>
      <c r="L116" s="10">
        <v>47</v>
      </c>
      <c r="M116" s="10">
        <v>4.3</v>
      </c>
      <c r="N116" s="10">
        <v>515.914</v>
      </c>
      <c r="O116" s="10">
        <v>23.3984</v>
      </c>
      <c r="P116" s="10">
        <v>2009.01</v>
      </c>
      <c r="Q116" s="10">
        <v>3329.84</v>
      </c>
      <c r="R116" s="10">
        <v>619.669</v>
      </c>
      <c r="S116" s="25">
        <v>209.93</v>
      </c>
      <c r="T116" s="10">
        <v>3.355468</v>
      </c>
      <c r="U116" s="26">
        <v>7.3769</v>
      </c>
      <c r="V116" s="26">
        <v>433.515</v>
      </c>
      <c r="W116" s="27">
        <f t="shared" si="1"/>
        <v>1.70164815519648</v>
      </c>
      <c r="X116" s="27">
        <v>124928</v>
      </c>
      <c r="Y116" s="10">
        <v>56597.6</v>
      </c>
      <c r="Z116" s="10">
        <v>247</v>
      </c>
      <c r="AA116" s="10">
        <v>18943</v>
      </c>
      <c r="AB116" s="10"/>
    </row>
    <row r="117" ht="21" spans="1:28">
      <c r="A117" s="10">
        <v>2016</v>
      </c>
      <c r="B117" s="10">
        <v>230000</v>
      </c>
      <c r="C117" s="24" t="s">
        <v>49</v>
      </c>
      <c r="D117" s="10">
        <v>50222</v>
      </c>
      <c r="E117" s="10">
        <v>1964.94</v>
      </c>
      <c r="F117" s="10">
        <v>11.359</v>
      </c>
      <c r="G117" s="10">
        <v>23.6937</v>
      </c>
      <c r="H117" s="10"/>
      <c r="I117" s="10">
        <v>4.0408</v>
      </c>
      <c r="J117" s="10">
        <v>167.976</v>
      </c>
      <c r="K117" s="10">
        <v>320.28</v>
      </c>
      <c r="L117" s="10">
        <v>46</v>
      </c>
      <c r="M117" s="10">
        <v>5.6</v>
      </c>
      <c r="N117" s="10">
        <v>299.31</v>
      </c>
      <c r="O117" s="10">
        <v>26.031</v>
      </c>
      <c r="P117" s="10">
        <v>2510.91</v>
      </c>
      <c r="Q117" s="10">
        <v>3445.56</v>
      </c>
      <c r="R117" s="10">
        <v>642.63</v>
      </c>
      <c r="S117" s="25">
        <v>221.89</v>
      </c>
      <c r="T117" s="10">
        <v>3.76956</v>
      </c>
      <c r="U117" s="26">
        <v>7.2891</v>
      </c>
      <c r="V117" s="26">
        <v>424.871</v>
      </c>
      <c r="W117" s="27">
        <f t="shared" si="1"/>
        <v>1.71560308893758</v>
      </c>
      <c r="X117" s="27">
        <v>127314</v>
      </c>
      <c r="Y117" s="10">
        <v>54942.4</v>
      </c>
      <c r="Z117" s="10">
        <v>207</v>
      </c>
      <c r="AA117" s="10">
        <v>18046</v>
      </c>
      <c r="AB117" s="10"/>
    </row>
    <row r="118" ht="21" spans="1:28">
      <c r="A118" s="10">
        <v>2017</v>
      </c>
      <c r="B118" s="10">
        <v>230000</v>
      </c>
      <c r="C118" s="24" t="s">
        <v>49</v>
      </c>
      <c r="D118" s="10">
        <v>53800</v>
      </c>
      <c r="E118" s="10">
        <v>1937.24</v>
      </c>
      <c r="F118" s="10">
        <v>13.1958</v>
      </c>
      <c r="G118" s="10">
        <v>20.1075</v>
      </c>
      <c r="H118" s="10">
        <v>409.833</v>
      </c>
      <c r="I118" s="10">
        <v>4.3015</v>
      </c>
      <c r="J118" s="10">
        <v>189.588</v>
      </c>
      <c r="K118" s="10">
        <v>597.306</v>
      </c>
      <c r="L118" s="10">
        <v>46</v>
      </c>
      <c r="M118" s="10">
        <v>4.3</v>
      </c>
      <c r="N118" s="10">
        <v>673.708</v>
      </c>
      <c r="O118" s="10">
        <v>30.8999</v>
      </c>
      <c r="P118" s="10">
        <v>2858.68</v>
      </c>
      <c r="Q118" s="10">
        <v>3657.14</v>
      </c>
      <c r="R118" s="10">
        <v>554.6</v>
      </c>
      <c r="S118" s="25">
        <v>256.78</v>
      </c>
      <c r="T118" s="10">
        <v>4.891449</v>
      </c>
      <c r="U118" s="26">
        <v>8.1555</v>
      </c>
      <c r="V118" s="26">
        <v>413.014</v>
      </c>
      <c r="W118" s="27">
        <f t="shared" si="1"/>
        <v>1.97463039993802</v>
      </c>
      <c r="X118" s="27">
        <v>125363</v>
      </c>
      <c r="Y118" s="10">
        <v>47406</v>
      </c>
      <c r="Z118" s="10">
        <v>159</v>
      </c>
      <c r="AA118" s="10">
        <v>18221</v>
      </c>
      <c r="AB118" s="10"/>
    </row>
    <row r="119" ht="21" spans="1:28">
      <c r="A119" s="10">
        <v>2018</v>
      </c>
      <c r="B119" s="10">
        <v>230000</v>
      </c>
      <c r="C119" s="24" t="s">
        <v>49</v>
      </c>
      <c r="D119" s="10">
        <v>50242.3</v>
      </c>
      <c r="E119" s="10">
        <v>2113.15</v>
      </c>
      <c r="F119" s="10">
        <v>14.1962</v>
      </c>
      <c r="G119" s="10">
        <v>28.1005</v>
      </c>
      <c r="H119" s="10">
        <v>410.099</v>
      </c>
      <c r="I119" s="10">
        <v>4.2977</v>
      </c>
      <c r="J119" s="10">
        <v>48.2541</v>
      </c>
      <c r="K119" s="10">
        <v>1131.53</v>
      </c>
      <c r="L119" s="10">
        <v>44</v>
      </c>
      <c r="M119" s="10">
        <v>4.72281</v>
      </c>
      <c r="N119" s="10">
        <v>593.265</v>
      </c>
      <c r="O119" s="10">
        <v>34.5999</v>
      </c>
      <c r="P119" s="10">
        <v>2894.93</v>
      </c>
      <c r="Q119" s="10">
        <v>3833.63</v>
      </c>
      <c r="R119" s="10">
        <v>568.79</v>
      </c>
      <c r="S119" s="25">
        <v>274.73</v>
      </c>
      <c r="T119" s="10">
        <v>5.643284</v>
      </c>
      <c r="U119" s="26">
        <v>7.9656</v>
      </c>
      <c r="V119" s="26">
        <v>392.656</v>
      </c>
      <c r="W119" s="27">
        <f t="shared" si="1"/>
        <v>2.02864593944827</v>
      </c>
      <c r="X119" s="27">
        <v>124946</v>
      </c>
      <c r="Y119" s="10">
        <v>37154.7</v>
      </c>
      <c r="Z119" s="10">
        <v>121</v>
      </c>
      <c r="AA119" s="10">
        <v>19435</v>
      </c>
      <c r="AB119" s="10"/>
    </row>
    <row r="120" ht="21" spans="1:28">
      <c r="A120" s="10">
        <v>2019</v>
      </c>
      <c r="B120" s="10">
        <v>230000</v>
      </c>
      <c r="C120" s="24" t="s">
        <v>49</v>
      </c>
      <c r="D120" s="10">
        <v>50184.2</v>
      </c>
      <c r="E120" s="10">
        <v>2181.08</v>
      </c>
      <c r="F120" s="10">
        <v>17.689</v>
      </c>
      <c r="G120" s="10">
        <v>56.0257</v>
      </c>
      <c r="H120" s="10">
        <v>410.302</v>
      </c>
      <c r="I120" s="10">
        <v>3.6607</v>
      </c>
      <c r="J120" s="10">
        <v>55.8999</v>
      </c>
      <c r="K120" s="10">
        <v>1732.45</v>
      </c>
      <c r="L120" s="10">
        <v>38.5</v>
      </c>
      <c r="M120" s="10">
        <v>4.8</v>
      </c>
      <c r="N120" s="10">
        <v>599.087</v>
      </c>
      <c r="O120" s="10">
        <v>40.3067</v>
      </c>
      <c r="P120" s="10">
        <v>2901.75</v>
      </c>
      <c r="Q120" s="10">
        <v>3929.02</v>
      </c>
      <c r="R120" s="10">
        <v>652.27</v>
      </c>
      <c r="S120" s="25">
        <v>292.87</v>
      </c>
      <c r="T120" s="10">
        <v>8.158186</v>
      </c>
      <c r="U120" s="26">
        <v>8.8156</v>
      </c>
      <c r="V120" s="26">
        <v>349.574</v>
      </c>
      <c r="W120" s="27">
        <f t="shared" si="1"/>
        <v>2.52181226292573</v>
      </c>
      <c r="X120" s="27">
        <v>122745</v>
      </c>
      <c r="Y120" s="10">
        <v>44394.3</v>
      </c>
      <c r="Z120" s="10">
        <v>170</v>
      </c>
      <c r="AA120" s="10">
        <v>19989</v>
      </c>
      <c r="AB120" s="10"/>
    </row>
    <row r="121" ht="21" spans="1:28">
      <c r="A121" s="10">
        <v>2020</v>
      </c>
      <c r="B121" s="10">
        <v>230000</v>
      </c>
      <c r="C121" s="24" t="s">
        <v>49</v>
      </c>
      <c r="D121" s="10">
        <v>51829</v>
      </c>
      <c r="E121" s="10">
        <v>2127.5</v>
      </c>
      <c r="F121" s="10">
        <v>18.6</v>
      </c>
      <c r="G121" s="10">
        <v>53.6</v>
      </c>
      <c r="H121" s="10">
        <v>412.2</v>
      </c>
      <c r="I121" s="10">
        <v>3.0237</v>
      </c>
      <c r="J121" s="10">
        <v>46.2</v>
      </c>
      <c r="K121" s="10">
        <v>2092.5</v>
      </c>
      <c r="L121" s="10">
        <v>38</v>
      </c>
      <c r="M121" s="10">
        <v>5.5</v>
      </c>
      <c r="N121" s="10">
        <v>687.2</v>
      </c>
      <c r="O121" s="10">
        <v>46</v>
      </c>
      <c r="P121" s="10">
        <v>2980.3</v>
      </c>
      <c r="Q121" s="10">
        <v>3844.4</v>
      </c>
      <c r="R121" s="10">
        <v>578.81</v>
      </c>
      <c r="S121" s="25">
        <v>306.08</v>
      </c>
      <c r="T121" s="10">
        <v>12.54101</v>
      </c>
      <c r="U121" s="26">
        <v>8.5545</v>
      </c>
      <c r="V121" s="26">
        <v>316.397</v>
      </c>
      <c r="W121" s="27">
        <f t="shared" si="1"/>
        <v>2.7037234866323</v>
      </c>
      <c r="X121" s="27">
        <v>127638</v>
      </c>
      <c r="Y121" s="10">
        <v>44204.5</v>
      </c>
      <c r="Z121" s="10">
        <v>208</v>
      </c>
      <c r="AA121" s="10">
        <v>28475</v>
      </c>
      <c r="AB121" s="10"/>
    </row>
    <row r="122" ht="21" spans="1:28">
      <c r="A122" s="10">
        <v>2021</v>
      </c>
      <c r="B122" s="10">
        <v>230000</v>
      </c>
      <c r="C122" s="24" t="s">
        <v>49</v>
      </c>
      <c r="D122" s="10">
        <v>51044.2</v>
      </c>
      <c r="E122" s="10">
        <v>2260.35</v>
      </c>
      <c r="F122" s="10">
        <v>20.1863</v>
      </c>
      <c r="G122" s="10">
        <v>25.1146</v>
      </c>
      <c r="H122" s="10">
        <v>408.781</v>
      </c>
      <c r="I122" s="10">
        <v>3.4518</v>
      </c>
      <c r="J122" s="10">
        <v>55.4032</v>
      </c>
      <c r="K122" s="10">
        <v>246.83</v>
      </c>
      <c r="L122" s="10">
        <v>36.9</v>
      </c>
      <c r="M122" s="10">
        <v>6</v>
      </c>
      <c r="N122" s="10">
        <v>801.729</v>
      </c>
      <c r="O122" s="10">
        <v>42.2475</v>
      </c>
      <c r="P122" s="10">
        <v>3093.93</v>
      </c>
      <c r="Q122" s="10">
        <v>3759.52</v>
      </c>
      <c r="R122" s="10">
        <v>557.93</v>
      </c>
      <c r="S122" s="25">
        <v>319.37</v>
      </c>
      <c r="T122" s="10">
        <v>13.91145</v>
      </c>
      <c r="U122" s="26">
        <v>5.8425</v>
      </c>
      <c r="V122" s="26">
        <v>311.203</v>
      </c>
      <c r="W122" s="27">
        <f t="shared" si="1"/>
        <v>1.87739192745571</v>
      </c>
      <c r="X122" s="27">
        <v>131227</v>
      </c>
      <c r="Y122" s="10">
        <v>48638.9</v>
      </c>
      <c r="Z122" s="10">
        <v>247</v>
      </c>
      <c r="AA122" s="10">
        <v>38884</v>
      </c>
      <c r="AB122" s="10"/>
    </row>
    <row r="123" ht="21" spans="1:28">
      <c r="A123" s="10">
        <v>2022</v>
      </c>
      <c r="B123" s="10">
        <v>230000</v>
      </c>
      <c r="C123" s="24" t="s">
        <v>49</v>
      </c>
      <c r="D123" s="10">
        <v>52511.3</v>
      </c>
      <c r="E123" s="10">
        <v>2198.65</v>
      </c>
      <c r="F123" s="10">
        <v>20.9502</v>
      </c>
      <c r="G123" s="10">
        <v>23.1305</v>
      </c>
      <c r="H123" s="10">
        <v>415.305</v>
      </c>
      <c r="I123" s="10">
        <v>3.4178</v>
      </c>
      <c r="J123" s="10">
        <v>59.2885</v>
      </c>
      <c r="K123" s="10">
        <v>262.257</v>
      </c>
      <c r="L123" s="10">
        <v>31.1</v>
      </c>
      <c r="M123" s="10">
        <v>5.57943</v>
      </c>
      <c r="N123" s="10">
        <v>1180.05</v>
      </c>
      <c r="O123" s="10">
        <v>44.0991</v>
      </c>
      <c r="P123" s="10">
        <v>3136.9</v>
      </c>
      <c r="Q123" s="10">
        <v>3828.61</v>
      </c>
      <c r="R123" s="10">
        <v>544.665</v>
      </c>
      <c r="S123" s="25">
        <v>333.03</v>
      </c>
      <c r="T123" s="10">
        <v>13.01576</v>
      </c>
      <c r="U123" s="26">
        <v>5.9332</v>
      </c>
      <c r="V123" s="26">
        <v>297.873</v>
      </c>
      <c r="W123" s="27">
        <f t="shared" si="1"/>
        <v>1.99185558946262</v>
      </c>
      <c r="X123" s="27">
        <v>140769</v>
      </c>
      <c r="Y123" s="10">
        <v>56937.9</v>
      </c>
      <c r="Z123" s="10">
        <v>243</v>
      </c>
      <c r="AA123" s="10">
        <v>36551</v>
      </c>
      <c r="AB123" s="10"/>
    </row>
    <row r="124" ht="21" spans="1:28">
      <c r="A124" s="10">
        <v>2023</v>
      </c>
      <c r="B124" s="10">
        <v>230000</v>
      </c>
      <c r="C124" s="24" t="s">
        <v>49</v>
      </c>
      <c r="D124" s="10">
        <v>55123</v>
      </c>
      <c r="E124" s="10">
        <v>2207.7</v>
      </c>
      <c r="F124" s="10">
        <v>22.4</v>
      </c>
      <c r="G124" s="10">
        <v>26.5</v>
      </c>
      <c r="H124" s="10">
        <v>408.323</v>
      </c>
      <c r="I124" s="10">
        <v>3.5194</v>
      </c>
      <c r="J124" s="10">
        <v>69.1</v>
      </c>
      <c r="K124" s="10">
        <v>273.28</v>
      </c>
      <c r="L124" s="10">
        <v>29.7688</v>
      </c>
      <c r="M124" s="10">
        <v>8.77977</v>
      </c>
      <c r="N124" s="10">
        <v>1469.72</v>
      </c>
      <c r="O124" s="10">
        <v>45.1925</v>
      </c>
      <c r="P124" s="10">
        <v>3229.4</v>
      </c>
      <c r="Q124" s="10">
        <v>3947.8</v>
      </c>
      <c r="R124" s="10"/>
      <c r="S124" s="25">
        <v>346.84</v>
      </c>
      <c r="T124" s="10">
        <v>16.53381</v>
      </c>
      <c r="U124" s="26">
        <v>5.6538</v>
      </c>
      <c r="V124" s="26">
        <v>274.564</v>
      </c>
      <c r="W124" s="27">
        <f t="shared" si="1"/>
        <v>2.05919202808817</v>
      </c>
      <c r="X124" s="27">
        <v>144972</v>
      </c>
      <c r="Y124" s="10">
        <v>62552.3</v>
      </c>
      <c r="Z124" s="10">
        <v>269</v>
      </c>
      <c r="AA124" s="10">
        <v>27588</v>
      </c>
      <c r="AB124" s="10"/>
    </row>
    <row r="125" ht="21" spans="1:28">
      <c r="A125" s="10">
        <v>2013</v>
      </c>
      <c r="B125" s="10">
        <v>420000</v>
      </c>
      <c r="C125" s="24" t="s">
        <v>50</v>
      </c>
      <c r="D125" s="10">
        <v>28125</v>
      </c>
      <c r="E125" s="10">
        <v>1153.2</v>
      </c>
      <c r="F125" s="10">
        <v>8.5785</v>
      </c>
      <c r="G125" s="10">
        <v>21.0035</v>
      </c>
      <c r="H125" s="10">
        <v>632.934</v>
      </c>
      <c r="I125" s="10">
        <v>6.3882</v>
      </c>
      <c r="J125" s="10">
        <v>709.448</v>
      </c>
      <c r="K125" s="10">
        <v>536.013</v>
      </c>
      <c r="L125" s="10">
        <v>53.6398</v>
      </c>
      <c r="M125" s="10">
        <v>3.37585</v>
      </c>
      <c r="N125" s="10">
        <v>1843.12</v>
      </c>
      <c r="O125" s="10">
        <v>18.0948</v>
      </c>
      <c r="P125" s="10"/>
      <c r="Q125" s="10">
        <v>4416.8</v>
      </c>
      <c r="R125" s="10">
        <v>872.14</v>
      </c>
      <c r="S125" s="25">
        <v>164.76</v>
      </c>
      <c r="T125" s="10">
        <v>5.173129</v>
      </c>
      <c r="U125" s="26">
        <v>9.0969</v>
      </c>
      <c r="V125" s="26">
        <v>696.512</v>
      </c>
      <c r="W125" s="27">
        <f t="shared" si="1"/>
        <v>1.3060650785629</v>
      </c>
      <c r="X125" s="27">
        <v>180278</v>
      </c>
      <c r="Y125" s="10">
        <v>133061</v>
      </c>
      <c r="Z125" s="10">
        <v>1096</v>
      </c>
      <c r="AA125" s="10">
        <v>28760</v>
      </c>
      <c r="AB125" s="10"/>
    </row>
    <row r="126" ht="21" spans="1:28">
      <c r="A126" s="10">
        <v>2014</v>
      </c>
      <c r="B126" s="10">
        <v>420000</v>
      </c>
      <c r="C126" s="24" t="s">
        <v>50</v>
      </c>
      <c r="D126" s="10">
        <v>30344.3</v>
      </c>
      <c r="E126" s="10">
        <v>1266.06</v>
      </c>
      <c r="F126" s="10">
        <v>13.1</v>
      </c>
      <c r="G126" s="10">
        <v>35.4941</v>
      </c>
      <c r="H126" s="10">
        <v>803.411</v>
      </c>
      <c r="I126" s="10">
        <v>6.7815</v>
      </c>
      <c r="J126" s="10">
        <v>851.196</v>
      </c>
      <c r="K126" s="10">
        <v>620.43</v>
      </c>
      <c r="L126" s="10">
        <v>58.0518</v>
      </c>
      <c r="M126" s="10">
        <v>5.5258</v>
      </c>
      <c r="N126" s="10">
        <v>2275.98</v>
      </c>
      <c r="O126" s="10">
        <v>18.7526</v>
      </c>
      <c r="P126" s="10">
        <v>2904.48</v>
      </c>
      <c r="Q126" s="10">
        <v>4606.77</v>
      </c>
      <c r="R126" s="10">
        <v>895.953</v>
      </c>
      <c r="S126" s="25">
        <v>190.14</v>
      </c>
      <c r="T126" s="10">
        <v>5.039026</v>
      </c>
      <c r="U126" s="26">
        <v>10.5357</v>
      </c>
      <c r="V126" s="26">
        <v>706.796</v>
      </c>
      <c r="W126" s="27">
        <f t="shared" si="1"/>
        <v>1.49062813032332</v>
      </c>
      <c r="X126" s="27">
        <v>198066</v>
      </c>
      <c r="Y126" s="10">
        <v>140741</v>
      </c>
      <c r="Z126" s="10">
        <v>1137</v>
      </c>
      <c r="AA126" s="10">
        <v>28290</v>
      </c>
      <c r="AB126" s="10"/>
    </row>
    <row r="127" ht="21" spans="1:28">
      <c r="A127" s="10">
        <v>2015</v>
      </c>
      <c r="B127" s="10">
        <v>420000</v>
      </c>
      <c r="C127" s="24" t="s">
        <v>50</v>
      </c>
      <c r="D127" s="10">
        <v>31706</v>
      </c>
      <c r="E127" s="10">
        <v>2061.13</v>
      </c>
      <c r="F127" s="10">
        <v>17.4772</v>
      </c>
      <c r="G127" s="10">
        <v>133.2</v>
      </c>
      <c r="H127" s="10"/>
      <c r="I127" s="10">
        <v>8.7</v>
      </c>
      <c r="J127" s="10">
        <v>1015.24</v>
      </c>
      <c r="K127" s="10">
        <v>828.34</v>
      </c>
      <c r="L127" s="10">
        <v>59</v>
      </c>
      <c r="M127" s="10">
        <v>8.8</v>
      </c>
      <c r="N127" s="10">
        <v>2386.65</v>
      </c>
      <c r="O127" s="10">
        <v>19.9747</v>
      </c>
      <c r="P127" s="10">
        <v>3255.41</v>
      </c>
      <c r="Q127" s="10">
        <v>4530.52</v>
      </c>
      <c r="R127" s="10">
        <v>984.18</v>
      </c>
      <c r="S127" s="25">
        <v>226.75</v>
      </c>
      <c r="T127" s="10">
        <v>8.460597</v>
      </c>
      <c r="U127" s="26">
        <v>11.4659</v>
      </c>
      <c r="V127" s="26">
        <v>712.333</v>
      </c>
      <c r="W127" s="27">
        <f t="shared" si="1"/>
        <v>1.60962639664314</v>
      </c>
      <c r="X127" s="27">
        <v>209246</v>
      </c>
      <c r="Y127" s="10">
        <v>135481</v>
      </c>
      <c r="Z127" s="10">
        <v>1333</v>
      </c>
      <c r="AA127" s="10">
        <v>38781</v>
      </c>
      <c r="AB127" s="10"/>
    </row>
    <row r="128" ht="21" spans="1:28">
      <c r="A128" s="10">
        <v>2016</v>
      </c>
      <c r="B128" s="10">
        <v>420000</v>
      </c>
      <c r="C128" s="24" t="s">
        <v>50</v>
      </c>
      <c r="D128" s="10">
        <v>32372.5</v>
      </c>
      <c r="E128" s="10">
        <v>2594.68</v>
      </c>
      <c r="F128" s="10">
        <v>19.1854</v>
      </c>
      <c r="G128" s="10">
        <v>101.956</v>
      </c>
      <c r="H128" s="10"/>
      <c r="I128" s="10">
        <v>10.1126</v>
      </c>
      <c r="J128" s="10">
        <v>1330.51</v>
      </c>
      <c r="K128" s="10">
        <v>515.29</v>
      </c>
      <c r="L128" s="10">
        <v>60.2</v>
      </c>
      <c r="M128" s="10">
        <v>11.3</v>
      </c>
      <c r="N128" s="10">
        <v>2741.02</v>
      </c>
      <c r="O128" s="10">
        <v>22.2411</v>
      </c>
      <c r="P128" s="10">
        <v>3639.94</v>
      </c>
      <c r="Q128" s="10">
        <v>4683.75</v>
      </c>
      <c r="R128" s="10">
        <v>1003.25</v>
      </c>
      <c r="S128" s="25">
        <v>239.86</v>
      </c>
      <c r="T128" s="10">
        <v>17.41774</v>
      </c>
      <c r="U128" s="26">
        <v>12.3274</v>
      </c>
      <c r="V128" s="26">
        <v>719.316</v>
      </c>
      <c r="W128" s="27">
        <f t="shared" si="1"/>
        <v>1.71376696750802</v>
      </c>
      <c r="X128" s="27">
        <v>216203</v>
      </c>
      <c r="Y128" s="10">
        <v>136608</v>
      </c>
      <c r="Z128" s="10">
        <v>1212</v>
      </c>
      <c r="AA128" s="10">
        <v>41822</v>
      </c>
      <c r="AB128" s="10"/>
    </row>
    <row r="129" ht="21" spans="1:28">
      <c r="A129" s="10">
        <v>2017</v>
      </c>
      <c r="B129" s="10">
        <v>420000</v>
      </c>
      <c r="C129" s="24" t="s">
        <v>50</v>
      </c>
      <c r="D129" s="10">
        <v>32335.6</v>
      </c>
      <c r="E129" s="10">
        <v>2605.51</v>
      </c>
      <c r="F129" s="10">
        <v>21.1003</v>
      </c>
      <c r="G129" s="10">
        <v>78.9674</v>
      </c>
      <c r="H129" s="10">
        <v>809.504</v>
      </c>
      <c r="I129" s="10">
        <v>11.6646</v>
      </c>
      <c r="J129" s="10">
        <v>1531.2</v>
      </c>
      <c r="K129" s="10">
        <v>857.645</v>
      </c>
      <c r="L129" s="10">
        <v>62</v>
      </c>
      <c r="M129" s="10">
        <v>9</v>
      </c>
      <c r="N129" s="10">
        <v>4411.35</v>
      </c>
      <c r="O129" s="10">
        <v>23.9373</v>
      </c>
      <c r="P129" s="10">
        <v>4116.39</v>
      </c>
      <c r="Q129" s="10">
        <v>4994.11</v>
      </c>
      <c r="R129" s="10">
        <v>1060.57</v>
      </c>
      <c r="S129" s="25">
        <v>285.28</v>
      </c>
      <c r="T129" s="10">
        <v>32.58255</v>
      </c>
      <c r="U129" s="26">
        <v>12.7373</v>
      </c>
      <c r="V129" s="26">
        <v>695.018</v>
      </c>
      <c r="W129" s="27">
        <f t="shared" si="1"/>
        <v>1.83265757145858</v>
      </c>
      <c r="X129" s="27">
        <v>212847</v>
      </c>
      <c r="Y129" s="10">
        <v>139990</v>
      </c>
      <c r="Z129" s="10">
        <v>1266</v>
      </c>
      <c r="AA129" s="10">
        <v>46369</v>
      </c>
      <c r="AB129" s="10"/>
    </row>
    <row r="130" ht="21" spans="1:28">
      <c r="A130" s="10">
        <v>2018</v>
      </c>
      <c r="B130" s="10">
        <v>420000</v>
      </c>
      <c r="C130" s="24" t="s">
        <v>50</v>
      </c>
      <c r="D130" s="10">
        <v>29055</v>
      </c>
      <c r="E130" s="10">
        <v>2961.29</v>
      </c>
      <c r="F130" s="10">
        <v>23.072</v>
      </c>
      <c r="G130" s="10">
        <v>106.205</v>
      </c>
      <c r="H130" s="10">
        <v>813.419</v>
      </c>
      <c r="I130" s="10">
        <v>12.282</v>
      </c>
      <c r="J130" s="10">
        <v>1791.49</v>
      </c>
      <c r="K130" s="10">
        <v>2040.03</v>
      </c>
      <c r="L130" s="10">
        <v>60</v>
      </c>
      <c r="M130" s="10">
        <v>9.14625</v>
      </c>
      <c r="N130" s="10">
        <v>4051.4</v>
      </c>
      <c r="O130" s="10">
        <v>26.304</v>
      </c>
      <c r="P130" s="10">
        <v>4551.95</v>
      </c>
      <c r="Q130" s="10">
        <v>5569.79</v>
      </c>
      <c r="R130" s="10">
        <v>1060.83</v>
      </c>
      <c r="S130" s="25">
        <v>319.48</v>
      </c>
      <c r="T130" s="10">
        <v>36.35064</v>
      </c>
      <c r="U130" s="26">
        <v>13.5036</v>
      </c>
      <c r="V130" s="26">
        <v>653.349</v>
      </c>
      <c r="W130" s="27">
        <f t="shared" si="1"/>
        <v>2.06682798932883</v>
      </c>
      <c r="X130" s="27">
        <v>203965</v>
      </c>
      <c r="Y130" s="10">
        <v>155547</v>
      </c>
      <c r="Z130" s="10">
        <v>1550</v>
      </c>
      <c r="AA130" s="10">
        <v>64106</v>
      </c>
      <c r="AB130" s="10"/>
    </row>
    <row r="131" ht="21" spans="1:28">
      <c r="A131" s="10">
        <v>2019</v>
      </c>
      <c r="B131" s="10">
        <v>420000</v>
      </c>
      <c r="C131" s="24" t="s">
        <v>50</v>
      </c>
      <c r="D131" s="10">
        <v>30805.4</v>
      </c>
      <c r="E131" s="10">
        <v>3062.28</v>
      </c>
      <c r="F131" s="10">
        <v>30.326</v>
      </c>
      <c r="G131" s="10">
        <v>206.33</v>
      </c>
      <c r="H131" s="10">
        <v>813.823</v>
      </c>
      <c r="I131" s="10">
        <v>10.9393</v>
      </c>
      <c r="J131" s="10">
        <v>2065.23</v>
      </c>
      <c r="K131" s="10">
        <v>3370.84</v>
      </c>
      <c r="L131" s="10">
        <v>59</v>
      </c>
      <c r="M131" s="10">
        <v>9.7</v>
      </c>
      <c r="N131" s="10">
        <v>4734.43</v>
      </c>
      <c r="O131" s="10">
        <v>27.1793</v>
      </c>
      <c r="P131" s="10">
        <v>4635.62</v>
      </c>
      <c r="Q131" s="10">
        <v>5688.02</v>
      </c>
      <c r="R131" s="10">
        <v>1055</v>
      </c>
      <c r="S131" s="25">
        <v>344.4</v>
      </c>
      <c r="T131" s="10">
        <v>47.24465</v>
      </c>
      <c r="U131" s="26">
        <v>18.0833</v>
      </c>
      <c r="V131" s="26">
        <v>653.756</v>
      </c>
      <c r="W131" s="27">
        <f t="shared" si="1"/>
        <v>2.7660625676858</v>
      </c>
      <c r="X131" s="27">
        <v>207828</v>
      </c>
      <c r="Y131" s="10">
        <v>178330</v>
      </c>
      <c r="Z131" s="10">
        <v>2340</v>
      </c>
      <c r="AA131" s="10">
        <v>73940</v>
      </c>
      <c r="AB131" s="10"/>
    </row>
    <row r="132" ht="21" spans="1:28">
      <c r="A132" s="10">
        <v>2020</v>
      </c>
      <c r="B132" s="10">
        <v>420000</v>
      </c>
      <c r="C132" s="24" t="s">
        <v>50</v>
      </c>
      <c r="D132" s="10">
        <v>32139</v>
      </c>
      <c r="E132" s="10">
        <v>3221.4</v>
      </c>
      <c r="F132" s="10">
        <v>32.5</v>
      </c>
      <c r="G132" s="10">
        <v>180.4</v>
      </c>
      <c r="H132" s="10">
        <v>817.6</v>
      </c>
      <c r="I132" s="10">
        <v>9.5966</v>
      </c>
      <c r="J132" s="10">
        <v>1927.76</v>
      </c>
      <c r="K132" s="10">
        <v>4205.17</v>
      </c>
      <c r="L132" s="10">
        <v>59</v>
      </c>
      <c r="M132" s="10">
        <v>11.1</v>
      </c>
      <c r="N132" s="10">
        <v>5078.7</v>
      </c>
      <c r="O132" s="10">
        <v>30</v>
      </c>
      <c r="P132" s="10">
        <v>4789.7</v>
      </c>
      <c r="Q132" s="10">
        <v>5681.1</v>
      </c>
      <c r="R132" s="10">
        <v>1174.34</v>
      </c>
      <c r="S132" s="25">
        <v>358.64</v>
      </c>
      <c r="T132" s="10">
        <v>70.98925</v>
      </c>
      <c r="U132" s="26">
        <v>16.4005</v>
      </c>
      <c r="V132" s="26">
        <v>631.171</v>
      </c>
      <c r="W132" s="27">
        <f t="shared" ref="W132:W195" si="2">(U132/V132)*100</f>
        <v>2.59842419883043</v>
      </c>
      <c r="X132" s="27">
        <v>218641</v>
      </c>
      <c r="Y132" s="10">
        <v>192168</v>
      </c>
      <c r="Z132" s="10">
        <v>3048</v>
      </c>
      <c r="AA132" s="10">
        <v>110102</v>
      </c>
      <c r="AB132" s="10"/>
    </row>
    <row r="133" ht="21" spans="1:28">
      <c r="A133" s="10">
        <v>2021</v>
      </c>
      <c r="B133" s="10">
        <v>420000</v>
      </c>
      <c r="C133" s="24" t="s">
        <v>50</v>
      </c>
      <c r="D133" s="10">
        <v>34050.9</v>
      </c>
      <c r="E133" s="10">
        <v>3667.77</v>
      </c>
      <c r="F133" s="10">
        <v>35.323</v>
      </c>
      <c r="G133" s="10">
        <v>85.9294</v>
      </c>
      <c r="H133" s="10">
        <v>812.038</v>
      </c>
      <c r="I133" s="10">
        <v>11.9068</v>
      </c>
      <c r="J133" s="10">
        <v>2132.62</v>
      </c>
      <c r="K133" s="10">
        <v>528.89</v>
      </c>
      <c r="L133" s="10">
        <v>57.7</v>
      </c>
      <c r="M133" s="10">
        <v>10.8</v>
      </c>
      <c r="N133" s="10">
        <v>6126.92</v>
      </c>
      <c r="O133" s="10">
        <v>32.6556</v>
      </c>
      <c r="P133" s="10">
        <v>5041.08</v>
      </c>
      <c r="Q133" s="10">
        <v>5871.05</v>
      </c>
      <c r="R133" s="10">
        <v>1245.85</v>
      </c>
      <c r="S133" s="25">
        <v>373.69</v>
      </c>
      <c r="T133" s="10">
        <v>74.40508</v>
      </c>
      <c r="U133" s="26">
        <v>17.2587</v>
      </c>
      <c r="V133" s="26">
        <v>643.567</v>
      </c>
      <c r="W133" s="27">
        <f t="shared" si="2"/>
        <v>2.68172544583548</v>
      </c>
      <c r="X133" s="27">
        <v>220745</v>
      </c>
      <c r="Y133" s="10">
        <v>230668</v>
      </c>
      <c r="Z133" s="10">
        <v>5013</v>
      </c>
      <c r="AA133" s="10">
        <v>155169</v>
      </c>
      <c r="AB133" s="10"/>
    </row>
    <row r="134" ht="21" spans="1:28">
      <c r="A134" s="10">
        <v>2022</v>
      </c>
      <c r="B134" s="10">
        <v>420000</v>
      </c>
      <c r="C134" s="24" t="s">
        <v>50</v>
      </c>
      <c r="D134" s="10">
        <v>35680.5</v>
      </c>
      <c r="E134" s="10">
        <v>4066.24</v>
      </c>
      <c r="F134" s="10">
        <v>38.2128</v>
      </c>
      <c r="G134" s="10">
        <v>67.0339</v>
      </c>
      <c r="H134" s="10">
        <v>823.746</v>
      </c>
      <c r="I134" s="10">
        <v>11.352</v>
      </c>
      <c r="J134" s="10">
        <v>2558.7</v>
      </c>
      <c r="K134" s="10">
        <v>568.081</v>
      </c>
      <c r="L134" s="10">
        <v>51.1</v>
      </c>
      <c r="M134" s="10">
        <v>9.49947</v>
      </c>
      <c r="N134" s="10">
        <v>8356.72</v>
      </c>
      <c r="O134" s="10">
        <v>32.9857</v>
      </c>
      <c r="P134" s="10">
        <v>5195.23</v>
      </c>
      <c r="Q134" s="10">
        <v>6055.91</v>
      </c>
      <c r="R134" s="10">
        <v>1260.93</v>
      </c>
      <c r="S134" s="25">
        <v>388.8</v>
      </c>
      <c r="T134" s="10">
        <v>90.51575</v>
      </c>
      <c r="U134" s="26">
        <v>16.6915</v>
      </c>
      <c r="V134" s="26">
        <v>639.774</v>
      </c>
      <c r="W134" s="27">
        <f t="shared" si="2"/>
        <v>2.60896816688393</v>
      </c>
      <c r="X134" s="27">
        <v>249208</v>
      </c>
      <c r="Y134" s="10">
        <v>261382</v>
      </c>
      <c r="Z134" s="10">
        <v>5763</v>
      </c>
      <c r="AA134" s="10">
        <v>160849</v>
      </c>
      <c r="AB134" s="10"/>
    </row>
    <row r="135" ht="21" spans="1:28">
      <c r="A135" s="10">
        <v>2023</v>
      </c>
      <c r="B135" s="10">
        <v>420000</v>
      </c>
      <c r="C135" s="24" t="s">
        <v>50</v>
      </c>
      <c r="D135" s="10">
        <v>35887</v>
      </c>
      <c r="E135" s="10">
        <v>4431.3</v>
      </c>
      <c r="F135" s="10">
        <v>41.7</v>
      </c>
      <c r="G135" s="10">
        <v>67.7</v>
      </c>
      <c r="H135" s="10">
        <v>813.215</v>
      </c>
      <c r="I135" s="10">
        <v>12.2919</v>
      </c>
      <c r="J135" s="10">
        <v>3044.07</v>
      </c>
      <c r="K135" s="10">
        <v>601.68</v>
      </c>
      <c r="L135" s="10">
        <v>44.1263</v>
      </c>
      <c r="M135" s="10">
        <v>13.9696</v>
      </c>
      <c r="N135" s="10">
        <v>10550.6</v>
      </c>
      <c r="O135" s="10">
        <v>34.1661</v>
      </c>
      <c r="P135" s="10">
        <v>5465.5</v>
      </c>
      <c r="Q135" s="10">
        <v>6320.2</v>
      </c>
      <c r="R135" s="10"/>
      <c r="S135" s="25">
        <v>404.91</v>
      </c>
      <c r="T135" s="10">
        <v>89.56291</v>
      </c>
      <c r="U135" s="26">
        <v>16.7702</v>
      </c>
      <c r="V135" s="26">
        <v>626.046</v>
      </c>
      <c r="W135" s="27">
        <f t="shared" si="2"/>
        <v>2.67874884593145</v>
      </c>
      <c r="X135" s="27">
        <v>255222</v>
      </c>
      <c r="Y135" s="10">
        <v>288195</v>
      </c>
      <c r="Z135" s="10">
        <v>6651</v>
      </c>
      <c r="AA135" s="10">
        <v>135211</v>
      </c>
      <c r="AB135" s="10"/>
    </row>
    <row r="136" ht="21" spans="1:28">
      <c r="A136" s="10">
        <v>2013</v>
      </c>
      <c r="B136" s="10">
        <v>430000</v>
      </c>
      <c r="C136" s="24" t="s">
        <v>51</v>
      </c>
      <c r="D136" s="10">
        <v>38411</v>
      </c>
      <c r="E136" s="10">
        <v>1219.6</v>
      </c>
      <c r="F136" s="10">
        <v>9.0778</v>
      </c>
      <c r="G136" s="10">
        <v>17.9771</v>
      </c>
      <c r="H136" s="10">
        <v>780.493</v>
      </c>
      <c r="I136" s="10">
        <v>4.9592</v>
      </c>
      <c r="J136" s="10">
        <v>255.658</v>
      </c>
      <c r="K136" s="10">
        <v>535.016</v>
      </c>
      <c r="L136" s="10">
        <v>51.5011</v>
      </c>
      <c r="M136" s="10">
        <v>4.01339</v>
      </c>
      <c r="N136" s="10">
        <v>1364.91</v>
      </c>
      <c r="O136" s="10">
        <v>15.808</v>
      </c>
      <c r="P136" s="10"/>
      <c r="Q136" s="10">
        <v>4570</v>
      </c>
      <c r="R136" s="10">
        <v>679.49</v>
      </c>
      <c r="S136" s="25">
        <v>147.71</v>
      </c>
      <c r="T136" s="10">
        <v>3.233008</v>
      </c>
      <c r="U136" s="26">
        <v>7.319</v>
      </c>
      <c r="V136" s="26">
        <v>600.991</v>
      </c>
      <c r="W136" s="27">
        <f t="shared" si="2"/>
        <v>1.2178218974993</v>
      </c>
      <c r="X136" s="27">
        <v>142030</v>
      </c>
      <c r="Y136" s="10">
        <v>103414</v>
      </c>
      <c r="Z136" s="10">
        <v>1445</v>
      </c>
      <c r="AA136" s="10">
        <v>24392</v>
      </c>
      <c r="AB136" s="10"/>
    </row>
    <row r="137" ht="21" spans="1:28">
      <c r="A137" s="10">
        <v>2014</v>
      </c>
      <c r="B137" s="10">
        <v>430000</v>
      </c>
      <c r="C137" s="24" t="s">
        <v>51</v>
      </c>
      <c r="D137" s="10">
        <v>38778.1</v>
      </c>
      <c r="E137" s="10">
        <v>1498.31</v>
      </c>
      <c r="F137" s="10">
        <v>13.3</v>
      </c>
      <c r="G137" s="10">
        <v>32.5229</v>
      </c>
      <c r="H137" s="10">
        <v>796.772</v>
      </c>
      <c r="I137" s="10">
        <v>4.8834</v>
      </c>
      <c r="J137" s="10">
        <v>301.737</v>
      </c>
      <c r="K137" s="10">
        <v>663.67</v>
      </c>
      <c r="L137" s="10">
        <v>56.8</v>
      </c>
      <c r="M137" s="10">
        <v>6.22273</v>
      </c>
      <c r="N137" s="10">
        <v>1918.85</v>
      </c>
      <c r="O137" s="10">
        <v>17.2574</v>
      </c>
      <c r="P137" s="10">
        <v>3222.64</v>
      </c>
      <c r="Q137" s="10">
        <v>4726.09</v>
      </c>
      <c r="R137" s="10">
        <v>768.261</v>
      </c>
      <c r="S137" s="25">
        <v>167.27</v>
      </c>
      <c r="T137" s="10">
        <v>3.823053</v>
      </c>
      <c r="U137" s="26">
        <v>7.6234</v>
      </c>
      <c r="V137" s="26">
        <v>597.904</v>
      </c>
      <c r="W137" s="27">
        <f t="shared" si="2"/>
        <v>1.27502073911531</v>
      </c>
      <c r="X137" s="27">
        <v>151349</v>
      </c>
      <c r="Y137" s="10">
        <v>107432</v>
      </c>
      <c r="Z137" s="10">
        <v>1632</v>
      </c>
      <c r="AA137" s="10">
        <v>26637</v>
      </c>
      <c r="AB137" s="10"/>
    </row>
    <row r="138" ht="21" spans="1:28">
      <c r="A138" s="10">
        <v>2015</v>
      </c>
      <c r="B138" s="10">
        <v>430000</v>
      </c>
      <c r="C138" s="24" t="s">
        <v>51</v>
      </c>
      <c r="D138" s="10">
        <v>40875</v>
      </c>
      <c r="E138" s="10">
        <v>1931.75</v>
      </c>
      <c r="F138" s="10">
        <v>17.6709</v>
      </c>
      <c r="G138" s="10">
        <v>58.6</v>
      </c>
      <c r="H138" s="10"/>
      <c r="I138" s="10">
        <v>5.9</v>
      </c>
      <c r="J138" s="10">
        <v>349.219</v>
      </c>
      <c r="K138" s="10">
        <v>802.51</v>
      </c>
      <c r="L138" s="10">
        <v>58</v>
      </c>
      <c r="M138" s="10">
        <v>8.1</v>
      </c>
      <c r="N138" s="10">
        <v>2221.42</v>
      </c>
      <c r="O138" s="10">
        <v>18</v>
      </c>
      <c r="P138" s="10">
        <v>3639.06</v>
      </c>
      <c r="Q138" s="10">
        <v>4692.02</v>
      </c>
      <c r="R138" s="10">
        <v>1013.08</v>
      </c>
      <c r="S138" s="25">
        <v>206.38</v>
      </c>
      <c r="T138" s="10">
        <v>6.540232</v>
      </c>
      <c r="U138" s="26">
        <v>7.2408</v>
      </c>
      <c r="V138" s="26">
        <v>579.145</v>
      </c>
      <c r="W138" s="27">
        <f t="shared" si="2"/>
        <v>1.25025684414093</v>
      </c>
      <c r="X138" s="27">
        <v>154185</v>
      </c>
      <c r="Y138" s="10">
        <v>114869</v>
      </c>
      <c r="Z138" s="10">
        <v>1765</v>
      </c>
      <c r="AA138" s="10">
        <v>34075</v>
      </c>
      <c r="AB138" s="10"/>
    </row>
    <row r="139" ht="21" spans="1:28">
      <c r="A139" s="10">
        <v>2016</v>
      </c>
      <c r="B139" s="10">
        <v>430000</v>
      </c>
      <c r="C139" s="24" t="s">
        <v>51</v>
      </c>
      <c r="D139" s="10">
        <v>41526</v>
      </c>
      <c r="E139" s="10">
        <v>2395.26</v>
      </c>
      <c r="F139" s="10">
        <v>20.1467</v>
      </c>
      <c r="G139" s="10">
        <v>137.193</v>
      </c>
      <c r="H139" s="10"/>
      <c r="I139" s="10">
        <v>7.278</v>
      </c>
      <c r="J139" s="10">
        <v>396.011</v>
      </c>
      <c r="K139" s="10">
        <v>555.75</v>
      </c>
      <c r="L139" s="10">
        <v>56.8</v>
      </c>
      <c r="M139" s="10">
        <v>10.9</v>
      </c>
      <c r="N139" s="10">
        <v>2227.46</v>
      </c>
      <c r="O139" s="10">
        <v>18.6537</v>
      </c>
      <c r="P139" s="10">
        <v>4350.73</v>
      </c>
      <c r="Q139" s="10">
        <v>4993.63</v>
      </c>
      <c r="R139" s="10">
        <v>1090.3</v>
      </c>
      <c r="S139" s="25">
        <v>217.69</v>
      </c>
      <c r="T139" s="10">
        <v>10.78982</v>
      </c>
      <c r="U139" s="26">
        <v>7.4037</v>
      </c>
      <c r="V139" s="26">
        <v>568.407</v>
      </c>
      <c r="W139" s="27">
        <f t="shared" si="2"/>
        <v>1.30253497933699</v>
      </c>
      <c r="X139" s="27">
        <v>162337</v>
      </c>
      <c r="Y139" s="10">
        <v>119345</v>
      </c>
      <c r="Z139" s="10">
        <v>1874</v>
      </c>
      <c r="AA139" s="10">
        <v>34050</v>
      </c>
      <c r="AB139" s="10"/>
    </row>
    <row r="140" ht="21" spans="1:28">
      <c r="A140" s="10">
        <v>2017</v>
      </c>
      <c r="B140" s="10">
        <v>430000</v>
      </c>
      <c r="C140" s="24" t="s">
        <v>51</v>
      </c>
      <c r="D140" s="10">
        <v>49655</v>
      </c>
      <c r="E140" s="10">
        <v>2436.01</v>
      </c>
      <c r="F140" s="10">
        <v>22.301</v>
      </c>
      <c r="G140" s="10">
        <v>112.45</v>
      </c>
      <c r="H140" s="10">
        <v>799.343</v>
      </c>
      <c r="I140" s="10">
        <v>8.7629</v>
      </c>
      <c r="J140" s="10">
        <v>454.885</v>
      </c>
      <c r="K140" s="10">
        <v>929.107</v>
      </c>
      <c r="L140" s="10">
        <v>54</v>
      </c>
      <c r="M140" s="10">
        <v>9.1</v>
      </c>
      <c r="N140" s="10">
        <v>2682.65</v>
      </c>
      <c r="O140" s="10">
        <v>20.403</v>
      </c>
      <c r="P140" s="10">
        <v>4922.45</v>
      </c>
      <c r="Q140" s="10">
        <v>5683.42</v>
      </c>
      <c r="R140" s="10">
        <v>1038.15</v>
      </c>
      <c r="S140" s="25">
        <v>261.12</v>
      </c>
      <c r="T140" s="10">
        <v>32.42617</v>
      </c>
      <c r="U140" s="26">
        <v>6.9322</v>
      </c>
      <c r="V140" s="26">
        <v>565.745</v>
      </c>
      <c r="W140" s="27">
        <f t="shared" si="2"/>
        <v>1.2253223625485</v>
      </c>
      <c r="X140" s="27">
        <v>162286</v>
      </c>
      <c r="Y140" s="10">
        <v>130829</v>
      </c>
      <c r="Z140" s="10">
        <v>1983</v>
      </c>
      <c r="AA140" s="10">
        <v>37916</v>
      </c>
      <c r="AB140" s="10"/>
    </row>
    <row r="141" ht="21" spans="1:28">
      <c r="A141" s="10">
        <v>2018</v>
      </c>
      <c r="B141" s="10">
        <v>430000</v>
      </c>
      <c r="C141" s="24" t="s">
        <v>51</v>
      </c>
      <c r="D141" s="10">
        <v>41796.6</v>
      </c>
      <c r="E141" s="10">
        <v>2821.1</v>
      </c>
      <c r="F141" s="10">
        <v>24.0158</v>
      </c>
      <c r="G141" s="10">
        <v>122.284</v>
      </c>
      <c r="H141" s="10">
        <v>799.862</v>
      </c>
      <c r="I141" s="10">
        <v>9.5295</v>
      </c>
      <c r="J141" s="10">
        <v>492.576</v>
      </c>
      <c r="K141" s="10">
        <v>2477.1</v>
      </c>
      <c r="L141" s="10">
        <v>51</v>
      </c>
      <c r="M141" s="10">
        <v>10.2776</v>
      </c>
      <c r="N141" s="10">
        <v>3127.54</v>
      </c>
      <c r="O141" s="10">
        <v>21.5274</v>
      </c>
      <c r="P141" s="10">
        <v>5226.59</v>
      </c>
      <c r="Q141" s="10">
        <v>6302.89</v>
      </c>
      <c r="R141" s="10">
        <v>874.84</v>
      </c>
      <c r="S141" s="25">
        <v>286.81</v>
      </c>
      <c r="T141" s="10">
        <v>22.71161</v>
      </c>
      <c r="U141" s="26">
        <v>6.7925</v>
      </c>
      <c r="V141" s="26">
        <v>546.273</v>
      </c>
      <c r="W141" s="27">
        <f t="shared" si="2"/>
        <v>1.24342590609457</v>
      </c>
      <c r="X141" s="27">
        <v>164199</v>
      </c>
      <c r="Y141" s="10">
        <v>146948</v>
      </c>
      <c r="Z141" s="10">
        <v>1765</v>
      </c>
      <c r="AA141" s="10">
        <v>48957</v>
      </c>
      <c r="AB141" s="10"/>
    </row>
    <row r="142" ht="21" spans="1:28">
      <c r="A142" s="10">
        <v>2019</v>
      </c>
      <c r="B142" s="10">
        <v>430000</v>
      </c>
      <c r="C142" s="24" t="s">
        <v>51</v>
      </c>
      <c r="D142" s="10">
        <v>43218.8</v>
      </c>
      <c r="E142" s="10">
        <v>2997.94</v>
      </c>
      <c r="F142" s="10">
        <v>32.72</v>
      </c>
      <c r="G142" s="10">
        <v>250.148</v>
      </c>
      <c r="H142" s="10">
        <v>800.26</v>
      </c>
      <c r="I142" s="10">
        <v>8.9723</v>
      </c>
      <c r="J142" s="10">
        <v>610.652</v>
      </c>
      <c r="K142" s="10">
        <v>4248.82</v>
      </c>
      <c r="L142" s="10">
        <v>46.9</v>
      </c>
      <c r="M142" s="10">
        <v>10</v>
      </c>
      <c r="N142" s="10">
        <v>3444.84</v>
      </c>
      <c r="O142" s="10">
        <v>23.3568</v>
      </c>
      <c r="P142" s="10">
        <v>5489.68</v>
      </c>
      <c r="Q142" s="10">
        <v>6648.08</v>
      </c>
      <c r="R142" s="10">
        <v>725.5</v>
      </c>
      <c r="S142" s="25">
        <v>310.85</v>
      </c>
      <c r="T142" s="10">
        <v>28.99722</v>
      </c>
      <c r="U142" s="26">
        <v>8.141</v>
      </c>
      <c r="V142" s="26">
        <v>596.697</v>
      </c>
      <c r="W142" s="27">
        <f t="shared" si="2"/>
        <v>1.3643440473138</v>
      </c>
      <c r="X142" s="27">
        <v>166655</v>
      </c>
      <c r="Y142" s="10">
        <v>157277</v>
      </c>
      <c r="Z142" s="10">
        <v>2068</v>
      </c>
      <c r="AA142" s="10">
        <v>54685</v>
      </c>
      <c r="AB142" s="10"/>
    </row>
    <row r="143" ht="21" spans="1:28">
      <c r="A143" s="10">
        <v>2020</v>
      </c>
      <c r="B143" s="10">
        <v>430000</v>
      </c>
      <c r="C143" s="24" t="s">
        <v>51</v>
      </c>
      <c r="D143" s="10">
        <v>42650</v>
      </c>
      <c r="E143" s="10">
        <v>3242.4</v>
      </c>
      <c r="F143" s="10">
        <v>36.6</v>
      </c>
      <c r="G143" s="10">
        <v>184.8</v>
      </c>
      <c r="H143" s="10">
        <v>804</v>
      </c>
      <c r="I143" s="10">
        <v>8.4151</v>
      </c>
      <c r="J143" s="10">
        <v>941.87</v>
      </c>
      <c r="K143" s="10">
        <v>5671.25</v>
      </c>
      <c r="L143" s="10">
        <v>47</v>
      </c>
      <c r="M143" s="10">
        <v>10.9</v>
      </c>
      <c r="N143" s="10">
        <v>4185.8</v>
      </c>
      <c r="O143" s="10">
        <v>25</v>
      </c>
      <c r="P143" s="10">
        <v>5771.2</v>
      </c>
      <c r="Q143" s="10">
        <v>6719.4</v>
      </c>
      <c r="R143" s="10">
        <v>639.91</v>
      </c>
      <c r="S143" s="25">
        <v>332.03</v>
      </c>
      <c r="T143" s="10">
        <v>41.61943</v>
      </c>
      <c r="U143" s="26">
        <v>8.5228</v>
      </c>
      <c r="V143" s="26">
        <v>604.922</v>
      </c>
      <c r="W143" s="27">
        <f t="shared" si="2"/>
        <v>1.40890891718271</v>
      </c>
      <c r="X143" s="27">
        <v>175258</v>
      </c>
      <c r="Y143" s="10">
        <v>177561</v>
      </c>
      <c r="Z143" s="10">
        <v>1953</v>
      </c>
      <c r="AA143" s="10">
        <v>78723</v>
      </c>
      <c r="AB143" s="10"/>
    </row>
    <row r="144" ht="21" spans="1:28">
      <c r="A144" s="10">
        <v>2021</v>
      </c>
      <c r="B144" s="10">
        <v>430000</v>
      </c>
      <c r="C144" s="24" t="s">
        <v>51</v>
      </c>
      <c r="D144" s="10">
        <v>40977</v>
      </c>
      <c r="E144" s="10">
        <v>3513.04</v>
      </c>
      <c r="F144" s="10">
        <v>38.8341</v>
      </c>
      <c r="G144" s="10">
        <v>99.412</v>
      </c>
      <c r="H144" s="10">
        <v>801.024</v>
      </c>
      <c r="I144" s="10">
        <v>9.4458</v>
      </c>
      <c r="J144" s="10">
        <v>1120.8</v>
      </c>
      <c r="K144" s="10">
        <v>636.5</v>
      </c>
      <c r="L144" s="10">
        <v>48.6</v>
      </c>
      <c r="M144" s="10">
        <v>11</v>
      </c>
      <c r="N144" s="10">
        <v>5065.79</v>
      </c>
      <c r="O144" s="10">
        <v>26.7418</v>
      </c>
      <c r="P144" s="10">
        <v>6026.18</v>
      </c>
      <c r="Q144" s="10">
        <v>6942.31</v>
      </c>
      <c r="R144" s="10">
        <v>605.88</v>
      </c>
      <c r="S144" s="25">
        <v>353.67</v>
      </c>
      <c r="T144" s="10">
        <v>39.48711</v>
      </c>
      <c r="U144" s="26">
        <v>8.9344</v>
      </c>
      <c r="V144" s="26">
        <v>605.961</v>
      </c>
      <c r="W144" s="27">
        <f t="shared" si="2"/>
        <v>1.474418320651</v>
      </c>
      <c r="X144" s="27">
        <v>179771</v>
      </c>
      <c r="Y144" s="10">
        <v>209329</v>
      </c>
      <c r="Z144" s="10">
        <v>3087</v>
      </c>
      <c r="AA144" s="10">
        <v>98936</v>
      </c>
      <c r="AB144" s="10"/>
    </row>
    <row r="145" ht="21" spans="1:28">
      <c r="A145" s="10">
        <v>2022</v>
      </c>
      <c r="B145" s="10">
        <v>430000</v>
      </c>
      <c r="C145" s="24" t="s">
        <v>51</v>
      </c>
      <c r="D145" s="10">
        <v>42164.1</v>
      </c>
      <c r="E145" s="10">
        <v>3727.98</v>
      </c>
      <c r="F145" s="10">
        <v>43.0111</v>
      </c>
      <c r="G145" s="10">
        <v>74.8376</v>
      </c>
      <c r="H145" s="10">
        <v>810.017</v>
      </c>
      <c r="I145" s="10">
        <v>9.0346</v>
      </c>
      <c r="J145" s="10">
        <v>1228.91</v>
      </c>
      <c r="K145" s="10">
        <v>666.842</v>
      </c>
      <c r="L145" s="10">
        <v>45.5</v>
      </c>
      <c r="M145" s="10">
        <v>9.36748</v>
      </c>
      <c r="N145" s="10">
        <v>6070.14</v>
      </c>
      <c r="O145" s="10">
        <v>28.322</v>
      </c>
      <c r="P145" s="10">
        <v>6155.69</v>
      </c>
      <c r="Q145" s="10">
        <v>7180.59</v>
      </c>
      <c r="R145" s="10">
        <v>613.674</v>
      </c>
      <c r="S145" s="25">
        <v>375.62</v>
      </c>
      <c r="T145" s="10">
        <v>42.68936</v>
      </c>
      <c r="U145" s="26">
        <v>8.9436</v>
      </c>
      <c r="V145" s="26">
        <v>589.863</v>
      </c>
      <c r="W145" s="27">
        <f t="shared" si="2"/>
        <v>1.51621647738543</v>
      </c>
      <c r="X145" s="27">
        <v>194962</v>
      </c>
      <c r="Y145" s="10">
        <v>250171</v>
      </c>
      <c r="Z145" s="10">
        <v>3456</v>
      </c>
      <c r="AA145" s="10">
        <v>92916</v>
      </c>
      <c r="AB145" s="10"/>
    </row>
    <row r="146" ht="21" spans="1:28">
      <c r="A146" s="10">
        <v>2023</v>
      </c>
      <c r="B146" s="10">
        <v>430000</v>
      </c>
      <c r="C146" s="24" t="s">
        <v>51</v>
      </c>
      <c r="D146" s="10">
        <v>46193</v>
      </c>
      <c r="E146" s="10">
        <v>4181.6</v>
      </c>
      <c r="F146" s="10">
        <v>45.6</v>
      </c>
      <c r="G146" s="10">
        <v>78.2</v>
      </c>
      <c r="H146" s="10">
        <v>799.49</v>
      </c>
      <c r="I146" s="10">
        <v>9.2121</v>
      </c>
      <c r="J146" s="10">
        <v>1181.79</v>
      </c>
      <c r="K146" s="10">
        <v>720.88</v>
      </c>
      <c r="L146" s="10">
        <v>44.8986</v>
      </c>
      <c r="M146" s="10">
        <v>14.2426</v>
      </c>
      <c r="N146" s="10">
        <v>6322.3</v>
      </c>
      <c r="O146" s="10">
        <v>29.4391</v>
      </c>
      <c r="P146" s="10">
        <v>6692.6</v>
      </c>
      <c r="Q146" s="10">
        <v>7731.8</v>
      </c>
      <c r="R146" s="10"/>
      <c r="S146" s="25">
        <v>398.14</v>
      </c>
      <c r="T146" s="10">
        <v>43.72403</v>
      </c>
      <c r="U146" s="26">
        <v>9.6288</v>
      </c>
      <c r="V146" s="26">
        <v>585.252</v>
      </c>
      <c r="W146" s="27">
        <f t="shared" si="2"/>
        <v>1.64523999917984</v>
      </c>
      <c r="X146" s="27">
        <v>204927</v>
      </c>
      <c r="Y146" s="10">
        <v>293642</v>
      </c>
      <c r="Z146" s="10">
        <v>4438</v>
      </c>
      <c r="AA146" s="10">
        <v>74940</v>
      </c>
      <c r="AB146" s="10"/>
    </row>
    <row r="147" ht="21" spans="1:28">
      <c r="A147" s="10">
        <v>2013</v>
      </c>
      <c r="B147" s="10">
        <v>220000</v>
      </c>
      <c r="C147" s="24" t="s">
        <v>52</v>
      </c>
      <c r="D147" s="10">
        <v>23431</v>
      </c>
      <c r="E147" s="10">
        <v>695</v>
      </c>
      <c r="F147" s="10">
        <v>4.2579</v>
      </c>
      <c r="G147" s="10">
        <v>7.6449</v>
      </c>
      <c r="H147" s="10">
        <v>365.67</v>
      </c>
      <c r="I147" s="10">
        <v>2.0783</v>
      </c>
      <c r="J147" s="10">
        <v>319.574</v>
      </c>
      <c r="K147" s="10">
        <v>269.629</v>
      </c>
      <c r="L147" s="10">
        <v>44.932</v>
      </c>
      <c r="M147" s="10">
        <v>1.7217</v>
      </c>
      <c r="N147" s="10">
        <v>159.574</v>
      </c>
      <c r="O147" s="10">
        <v>17.3271</v>
      </c>
      <c r="P147" s="10"/>
      <c r="Q147" s="10">
        <v>2372.1</v>
      </c>
      <c r="R147" s="10">
        <v>476.86</v>
      </c>
      <c r="S147" s="25">
        <v>138.36</v>
      </c>
      <c r="T147" s="10">
        <v>1.273976</v>
      </c>
      <c r="U147" s="26">
        <v>6.7365</v>
      </c>
      <c r="V147" s="26">
        <v>338.442</v>
      </c>
      <c r="W147" s="27">
        <f t="shared" si="2"/>
        <v>1.99044444838407</v>
      </c>
      <c r="X147" s="27">
        <v>103426</v>
      </c>
      <c r="Y147" s="10">
        <v>48007.6</v>
      </c>
      <c r="Z147" s="10">
        <v>208</v>
      </c>
      <c r="AA147" s="10">
        <v>6219</v>
      </c>
      <c r="AB147" s="10"/>
    </row>
    <row r="148" ht="21" spans="1:28">
      <c r="A148" s="10">
        <v>2014</v>
      </c>
      <c r="B148" s="10">
        <v>220000</v>
      </c>
      <c r="C148" s="24" t="s">
        <v>52</v>
      </c>
      <c r="D148" s="10">
        <v>23543.6</v>
      </c>
      <c r="E148" s="10">
        <v>805.95</v>
      </c>
      <c r="F148" s="10">
        <v>6.3</v>
      </c>
      <c r="G148" s="10">
        <v>10.7369</v>
      </c>
      <c r="H148" s="10">
        <v>408.346</v>
      </c>
      <c r="I148" s="10">
        <v>2.0649</v>
      </c>
      <c r="J148" s="10">
        <v>381.282</v>
      </c>
      <c r="K148" s="10">
        <v>297.54</v>
      </c>
      <c r="L148" s="10">
        <v>48.9677</v>
      </c>
      <c r="M148" s="10">
        <v>2.20613</v>
      </c>
      <c r="N148" s="10">
        <v>545.196</v>
      </c>
      <c r="O148" s="10">
        <v>19.704</v>
      </c>
      <c r="P148" s="10">
        <v>1646.09</v>
      </c>
      <c r="Q148" s="10">
        <v>2612.34</v>
      </c>
      <c r="R148" s="10">
        <v>512.892</v>
      </c>
      <c r="S148" s="25">
        <v>165.62</v>
      </c>
      <c r="T148" s="10">
        <v>1.457938</v>
      </c>
      <c r="U148" s="26">
        <v>6.5783</v>
      </c>
      <c r="V148" s="26">
        <v>334.416</v>
      </c>
      <c r="W148" s="27">
        <f t="shared" si="2"/>
        <v>1.96710085641835</v>
      </c>
      <c r="X148" s="27">
        <v>104859</v>
      </c>
      <c r="Y148" s="10">
        <v>49774</v>
      </c>
      <c r="Z148" s="10">
        <v>198</v>
      </c>
      <c r="AA148" s="10">
        <v>6696</v>
      </c>
      <c r="AB148" s="10"/>
    </row>
    <row r="149" ht="21" spans="1:28">
      <c r="A149" s="10">
        <v>2015</v>
      </c>
      <c r="B149" s="10">
        <v>220000</v>
      </c>
      <c r="C149" s="24" t="s">
        <v>52</v>
      </c>
      <c r="D149" s="10">
        <v>23877</v>
      </c>
      <c r="E149" s="10">
        <v>987.18</v>
      </c>
      <c r="F149" s="10">
        <v>7.8178</v>
      </c>
      <c r="G149" s="10">
        <v>14.7</v>
      </c>
      <c r="H149" s="10"/>
      <c r="I149" s="10">
        <v>2.5</v>
      </c>
      <c r="J149" s="10">
        <v>440.509</v>
      </c>
      <c r="K149" s="10">
        <v>351.13</v>
      </c>
      <c r="L149" s="10">
        <v>47</v>
      </c>
      <c r="M149" s="10">
        <v>4.2</v>
      </c>
      <c r="N149" s="10">
        <v>515.902</v>
      </c>
      <c r="O149" s="10">
        <v>21.4415</v>
      </c>
      <c r="P149" s="10">
        <v>1793.33</v>
      </c>
      <c r="Q149" s="10">
        <v>2511.5</v>
      </c>
      <c r="R149" s="10">
        <v>543.439</v>
      </c>
      <c r="S149" s="25">
        <v>208.2</v>
      </c>
      <c r="T149" s="10">
        <v>1.93834</v>
      </c>
      <c r="U149" s="26">
        <v>6.5502</v>
      </c>
      <c r="V149" s="26">
        <v>325.062</v>
      </c>
      <c r="W149" s="27">
        <f t="shared" si="2"/>
        <v>2.01506174206767</v>
      </c>
      <c r="X149" s="27">
        <v>109828</v>
      </c>
      <c r="Y149" s="10">
        <v>49275.8</v>
      </c>
      <c r="Z149" s="10">
        <v>199</v>
      </c>
      <c r="AA149" s="10">
        <v>8878</v>
      </c>
      <c r="AB149" s="10"/>
    </row>
    <row r="150" ht="21" spans="1:28">
      <c r="A150" s="10">
        <v>2016</v>
      </c>
      <c r="B150" s="10">
        <v>220000</v>
      </c>
      <c r="C150" s="24" t="s">
        <v>52</v>
      </c>
      <c r="D150" s="10">
        <v>23397</v>
      </c>
      <c r="E150" s="10">
        <v>1560.71</v>
      </c>
      <c r="F150" s="10">
        <v>9.1741</v>
      </c>
      <c r="G150" s="10">
        <v>20.4574</v>
      </c>
      <c r="H150" s="10"/>
      <c r="I150" s="10">
        <v>2.7437</v>
      </c>
      <c r="J150" s="10">
        <v>511.087</v>
      </c>
      <c r="K150" s="10">
        <v>264.31</v>
      </c>
      <c r="L150" s="10">
        <v>41.3</v>
      </c>
      <c r="M150" s="10">
        <v>5.1</v>
      </c>
      <c r="N150" s="10">
        <v>504.661</v>
      </c>
      <c r="O150" s="10">
        <v>23.8871</v>
      </c>
      <c r="P150" s="10">
        <v>2029.74</v>
      </c>
      <c r="Q150" s="10">
        <v>2654.82</v>
      </c>
      <c r="R150" s="10">
        <v>493.2</v>
      </c>
      <c r="S150" s="25">
        <v>217.07</v>
      </c>
      <c r="T150" s="10">
        <v>3.359183</v>
      </c>
      <c r="U150" s="26">
        <v>6.4105</v>
      </c>
      <c r="V150" s="26">
        <v>322.146</v>
      </c>
      <c r="W150" s="27">
        <f t="shared" si="2"/>
        <v>1.9899362400899</v>
      </c>
      <c r="X150" s="27">
        <v>113696</v>
      </c>
      <c r="Y150" s="10">
        <v>48252.4</v>
      </c>
      <c r="Z150" s="10">
        <v>198</v>
      </c>
      <c r="AA150" s="10">
        <v>9995</v>
      </c>
      <c r="AB150" s="10"/>
    </row>
    <row r="151" ht="21" spans="1:28">
      <c r="A151" s="10">
        <v>2017</v>
      </c>
      <c r="B151" s="10">
        <v>220000</v>
      </c>
      <c r="C151" s="24" t="s">
        <v>52</v>
      </c>
      <c r="D151" s="10">
        <v>23444</v>
      </c>
      <c r="E151" s="10">
        <v>1761.08</v>
      </c>
      <c r="F151" s="10">
        <v>10.1863</v>
      </c>
      <c r="G151" s="10">
        <v>24.6436</v>
      </c>
      <c r="H151" s="10">
        <v>409.833</v>
      </c>
      <c r="I151" s="10">
        <v>3.3284</v>
      </c>
      <c r="J151" s="10">
        <v>583.708</v>
      </c>
      <c r="K151" s="10">
        <v>486.105</v>
      </c>
      <c r="L151" s="10">
        <v>43</v>
      </c>
      <c r="M151" s="10">
        <v>4.3</v>
      </c>
      <c r="N151" s="10">
        <v>538.045</v>
      </c>
      <c r="O151" s="10">
        <v>27.0187</v>
      </c>
      <c r="P151" s="10">
        <v>2349.58</v>
      </c>
      <c r="Q151" s="10">
        <v>2868.76</v>
      </c>
      <c r="R151" s="10">
        <v>448.56</v>
      </c>
      <c r="S151" s="25">
        <v>254.76</v>
      </c>
      <c r="T151" s="10">
        <v>5.594799</v>
      </c>
      <c r="U151" s="26">
        <v>6.2903</v>
      </c>
      <c r="V151" s="26">
        <v>307.057</v>
      </c>
      <c r="W151" s="27">
        <f t="shared" si="2"/>
        <v>2.04857729998013</v>
      </c>
      <c r="X151" s="27">
        <v>114984</v>
      </c>
      <c r="Y151" s="10">
        <v>45530</v>
      </c>
      <c r="Z151" s="10">
        <v>180</v>
      </c>
      <c r="AA151" s="10">
        <v>11090</v>
      </c>
      <c r="AB151" s="10"/>
    </row>
    <row r="152" ht="21" spans="1:28">
      <c r="A152" s="10">
        <v>2018</v>
      </c>
      <c r="B152" s="10">
        <v>220000</v>
      </c>
      <c r="C152" s="24" t="s">
        <v>52</v>
      </c>
      <c r="D152" s="10">
        <v>33747</v>
      </c>
      <c r="E152" s="10">
        <v>1526.74</v>
      </c>
      <c r="F152" s="10">
        <v>11.2618</v>
      </c>
      <c r="G152" s="10">
        <v>37.0859</v>
      </c>
      <c r="H152" s="10">
        <v>410.099</v>
      </c>
      <c r="I152" s="10">
        <v>3.5034</v>
      </c>
      <c r="J152" s="10">
        <v>667.113</v>
      </c>
      <c r="K152" s="10">
        <v>1077.8</v>
      </c>
      <c r="L152" s="10">
        <v>42</v>
      </c>
      <c r="M152" s="10">
        <v>4.93971</v>
      </c>
      <c r="N152" s="10">
        <v>553.126</v>
      </c>
      <c r="O152" s="10">
        <v>30.4907</v>
      </c>
      <c r="P152" s="10">
        <v>2366.22</v>
      </c>
      <c r="Q152" s="10">
        <v>3001.06</v>
      </c>
      <c r="R152" s="10">
        <v>440.73</v>
      </c>
      <c r="S152" s="25">
        <v>276.08</v>
      </c>
      <c r="T152" s="10">
        <v>7.231966</v>
      </c>
      <c r="U152" s="26">
        <v>5.8228</v>
      </c>
      <c r="V152" s="26">
        <v>279.323</v>
      </c>
      <c r="W152" s="27">
        <f t="shared" si="2"/>
        <v>2.08461172191334</v>
      </c>
      <c r="X152" s="27">
        <v>113143</v>
      </c>
      <c r="Y152" s="10">
        <v>36375.7</v>
      </c>
      <c r="Z152" s="10">
        <v>181</v>
      </c>
      <c r="AA152" s="10">
        <v>13885</v>
      </c>
      <c r="AB152" s="10"/>
    </row>
    <row r="153" ht="21" spans="1:28">
      <c r="A153" s="10">
        <v>2019</v>
      </c>
      <c r="B153" s="10">
        <v>220000</v>
      </c>
      <c r="C153" s="24" t="s">
        <v>52</v>
      </c>
      <c r="D153" s="10">
        <v>26394.7</v>
      </c>
      <c r="E153" s="10">
        <v>1686.62</v>
      </c>
      <c r="F153" s="10">
        <v>13.5001</v>
      </c>
      <c r="G153" s="10">
        <v>62.6679</v>
      </c>
      <c r="H153" s="10">
        <v>410.302</v>
      </c>
      <c r="I153" s="10">
        <v>3.15915</v>
      </c>
      <c r="J153" s="10">
        <v>396.644</v>
      </c>
      <c r="K153" s="10">
        <v>1769.31</v>
      </c>
      <c r="L153" s="10">
        <v>40.7</v>
      </c>
      <c r="M153" s="10">
        <v>5.1</v>
      </c>
      <c r="N153" s="10">
        <v>596.785</v>
      </c>
      <c r="O153" s="10">
        <v>32.1362</v>
      </c>
      <c r="P153" s="10">
        <v>2304.81</v>
      </c>
      <c r="Q153" s="10">
        <v>2897.63</v>
      </c>
      <c r="R153" s="10">
        <v>426.05</v>
      </c>
      <c r="S153" s="25">
        <v>292.77</v>
      </c>
      <c r="T153" s="10">
        <v>9.113941</v>
      </c>
      <c r="U153" s="26">
        <v>5.6054</v>
      </c>
      <c r="V153" s="26">
        <v>277.34</v>
      </c>
      <c r="W153" s="27">
        <f t="shared" si="2"/>
        <v>2.02112929977645</v>
      </c>
      <c r="X153" s="27">
        <v>116628</v>
      </c>
      <c r="Y153" s="10">
        <v>42322.9</v>
      </c>
      <c r="Z153" s="10">
        <v>164</v>
      </c>
      <c r="AA153" s="10">
        <v>15579</v>
      </c>
      <c r="AB153" s="10"/>
    </row>
    <row r="154" ht="21" spans="1:28">
      <c r="A154" s="10">
        <v>2020</v>
      </c>
      <c r="B154" s="10">
        <v>220000</v>
      </c>
      <c r="C154" s="24" t="s">
        <v>52</v>
      </c>
      <c r="D154" s="10">
        <v>26743</v>
      </c>
      <c r="E154" s="10">
        <v>1651.2</v>
      </c>
      <c r="F154" s="10">
        <v>14.7</v>
      </c>
      <c r="G154" s="10">
        <v>55.8</v>
      </c>
      <c r="H154" s="10">
        <v>412.2</v>
      </c>
      <c r="I154" s="10">
        <v>2.8149</v>
      </c>
      <c r="J154" s="10">
        <v>441.34</v>
      </c>
      <c r="K154" s="10">
        <v>2119.9</v>
      </c>
      <c r="L154" s="10">
        <v>41</v>
      </c>
      <c r="M154" s="10">
        <v>5.5</v>
      </c>
      <c r="N154" s="10">
        <v>525.8</v>
      </c>
      <c r="O154" s="10">
        <v>36</v>
      </c>
      <c r="P154" s="10">
        <v>2445</v>
      </c>
      <c r="Q154" s="10">
        <v>2870.1</v>
      </c>
      <c r="R154" s="10">
        <v>617.71</v>
      </c>
      <c r="S154" s="25">
        <v>308.26</v>
      </c>
      <c r="T154" s="10">
        <v>12.71911</v>
      </c>
      <c r="U154" s="26">
        <v>4.4493</v>
      </c>
      <c r="V154" s="26">
        <v>257.772</v>
      </c>
      <c r="W154" s="27">
        <f t="shared" si="2"/>
        <v>1.72606023928123</v>
      </c>
      <c r="X154" s="27">
        <v>120607</v>
      </c>
      <c r="Y154" s="10">
        <v>44472.2</v>
      </c>
      <c r="Z154" s="10">
        <v>190</v>
      </c>
      <c r="AA154" s="10">
        <v>23951</v>
      </c>
      <c r="AB154" s="10"/>
    </row>
    <row r="155" ht="21" spans="1:28">
      <c r="A155" s="10">
        <v>2021</v>
      </c>
      <c r="B155" s="10">
        <v>220000</v>
      </c>
      <c r="C155" s="24" t="s">
        <v>52</v>
      </c>
      <c r="D155" s="10">
        <v>26616.8</v>
      </c>
      <c r="E155" s="10">
        <v>1743.1</v>
      </c>
      <c r="F155" s="10">
        <v>15.4168</v>
      </c>
      <c r="G155" s="10">
        <v>21.6116</v>
      </c>
      <c r="H155" s="10">
        <v>411.01</v>
      </c>
      <c r="I155" s="10">
        <v>3.0963</v>
      </c>
      <c r="J155" s="10">
        <v>505.616</v>
      </c>
      <c r="K155" s="10">
        <v>244.07</v>
      </c>
      <c r="L155" s="10">
        <v>38.7</v>
      </c>
      <c r="M155" s="10">
        <v>5.6</v>
      </c>
      <c r="N155" s="10">
        <v>587.119</v>
      </c>
      <c r="O155" s="10">
        <v>36.8646</v>
      </c>
      <c r="P155" s="10">
        <v>2454.55</v>
      </c>
      <c r="Q155" s="10">
        <v>2966.48</v>
      </c>
      <c r="R155" s="10">
        <v>621.59</v>
      </c>
      <c r="S155" s="25">
        <v>324.13</v>
      </c>
      <c r="T155" s="10">
        <v>14.74194</v>
      </c>
      <c r="U155" s="26">
        <v>4.5125</v>
      </c>
      <c r="V155" s="26">
        <v>254.712</v>
      </c>
      <c r="W155" s="27">
        <f t="shared" si="2"/>
        <v>1.7716087188668</v>
      </c>
      <c r="X155" s="27">
        <v>120331</v>
      </c>
      <c r="Y155" s="10">
        <v>50817.9</v>
      </c>
      <c r="Z155" s="10">
        <v>158</v>
      </c>
      <c r="AA155" s="10">
        <v>29879</v>
      </c>
      <c r="AB155" s="10"/>
    </row>
    <row r="156" ht="21" spans="1:28">
      <c r="A156" s="10">
        <v>2022</v>
      </c>
      <c r="B156" s="10">
        <v>220000</v>
      </c>
      <c r="C156" s="24" t="s">
        <v>52</v>
      </c>
      <c r="D156" s="10">
        <v>26769.4</v>
      </c>
      <c r="E156" s="10">
        <v>1830.87</v>
      </c>
      <c r="F156" s="10">
        <v>16.1062</v>
      </c>
      <c r="G156" s="10">
        <v>17.4557</v>
      </c>
      <c r="H156" s="10">
        <v>415.305</v>
      </c>
      <c r="I156" s="10">
        <v>2.9269</v>
      </c>
      <c r="J156" s="10">
        <v>499.955</v>
      </c>
      <c r="K156" s="10">
        <v>231.236</v>
      </c>
      <c r="L156" s="10">
        <v>33.4</v>
      </c>
      <c r="M156" s="10">
        <v>4.78382</v>
      </c>
      <c r="N156" s="10">
        <v>608.881</v>
      </c>
      <c r="O156" s="10">
        <v>39.5254</v>
      </c>
      <c r="P156" s="10">
        <v>2429.8</v>
      </c>
      <c r="Q156" s="10">
        <v>3007.75</v>
      </c>
      <c r="R156" s="10">
        <v>622.702</v>
      </c>
      <c r="S156" s="25">
        <v>340.01</v>
      </c>
      <c r="T156" s="10">
        <v>19.50933</v>
      </c>
      <c r="U156" s="26">
        <v>4.8994</v>
      </c>
      <c r="V156" s="26">
        <v>242.329</v>
      </c>
      <c r="W156" s="27">
        <f t="shared" si="2"/>
        <v>2.02179681342307</v>
      </c>
      <c r="X156" s="27">
        <v>125940</v>
      </c>
      <c r="Y156" s="10">
        <v>48947.2</v>
      </c>
      <c r="Z156" s="10">
        <v>181</v>
      </c>
      <c r="AA156" s="10">
        <v>29534</v>
      </c>
      <c r="AB156" s="10"/>
    </row>
    <row r="157" ht="21" spans="1:28">
      <c r="A157" s="10">
        <v>2023</v>
      </c>
      <c r="B157" s="10">
        <v>220000</v>
      </c>
      <c r="C157" s="24" t="s">
        <v>52</v>
      </c>
      <c r="D157" s="10">
        <v>26413</v>
      </c>
      <c r="E157" s="10">
        <v>1923.9</v>
      </c>
      <c r="F157" s="10">
        <v>16.3</v>
      </c>
      <c r="G157" s="10">
        <v>16.8</v>
      </c>
      <c r="H157" s="10">
        <v>411.754</v>
      </c>
      <c r="I157" s="10">
        <v>2.7414</v>
      </c>
      <c r="J157" s="10">
        <v>555.63</v>
      </c>
      <c r="K157" s="10">
        <v>244.18</v>
      </c>
      <c r="L157" s="10">
        <v>30.2869</v>
      </c>
      <c r="M157" s="10">
        <v>7.55604</v>
      </c>
      <c r="N157" s="10">
        <v>1250.89</v>
      </c>
      <c r="O157" s="10">
        <v>40.4593</v>
      </c>
      <c r="P157" s="10">
        <v>2547.1</v>
      </c>
      <c r="Q157" s="10">
        <v>3055.3</v>
      </c>
      <c r="R157" s="10"/>
      <c r="S157" s="25">
        <v>356.86</v>
      </c>
      <c r="T157" s="10">
        <v>22.61872</v>
      </c>
      <c r="U157" s="26">
        <v>4.5616</v>
      </c>
      <c r="V157" s="26">
        <v>233.898</v>
      </c>
      <c r="W157" s="27">
        <f t="shared" si="2"/>
        <v>1.95025181916904</v>
      </c>
      <c r="X157" s="27">
        <v>130255</v>
      </c>
      <c r="Y157" s="10">
        <v>53286.5</v>
      </c>
      <c r="Z157" s="10">
        <v>206</v>
      </c>
      <c r="AA157" s="10">
        <v>26637</v>
      </c>
      <c r="AB157" s="10"/>
    </row>
    <row r="158" ht="21" spans="1:28">
      <c r="A158" s="10">
        <v>2013</v>
      </c>
      <c r="B158" s="10">
        <v>320000</v>
      </c>
      <c r="C158" s="24" t="s">
        <v>53</v>
      </c>
      <c r="D158" s="10">
        <v>29981</v>
      </c>
      <c r="E158" s="10">
        <v>3063.2</v>
      </c>
      <c r="F158" s="10">
        <v>16.0201</v>
      </c>
      <c r="G158" s="10">
        <v>64.8607</v>
      </c>
      <c r="H158" s="10">
        <v>1198.18</v>
      </c>
      <c r="I158" s="10">
        <v>16.6267</v>
      </c>
      <c r="J158" s="10">
        <v>5177.27</v>
      </c>
      <c r="K158" s="10">
        <v>1133.21</v>
      </c>
      <c r="L158" s="10">
        <v>72.7429</v>
      </c>
      <c r="M158" s="10">
        <v>5.59296</v>
      </c>
      <c r="N158" s="10">
        <v>7173.14</v>
      </c>
      <c r="O158" s="10">
        <v>17.4924</v>
      </c>
      <c r="P158" s="10"/>
      <c r="Q158" s="10">
        <v>7942</v>
      </c>
      <c r="R158" s="10">
        <v>1661.94</v>
      </c>
      <c r="S158" s="25">
        <v>180.98</v>
      </c>
      <c r="T158" s="10">
        <v>30.41423</v>
      </c>
      <c r="U158" s="26">
        <v>30.4579</v>
      </c>
      <c r="V158" s="26">
        <v>1503.25</v>
      </c>
      <c r="W158" s="27">
        <f t="shared" si="2"/>
        <v>2.02613670380841</v>
      </c>
      <c r="X158" s="27">
        <v>236363</v>
      </c>
      <c r="Y158" s="10">
        <v>466159</v>
      </c>
      <c r="Z158" s="10">
        <v>17996</v>
      </c>
      <c r="AA158" s="10">
        <v>239645</v>
      </c>
      <c r="AB158" s="10"/>
    </row>
    <row r="159" ht="21" spans="1:28">
      <c r="A159" s="10">
        <v>2014</v>
      </c>
      <c r="B159" s="10">
        <v>320000</v>
      </c>
      <c r="C159" s="24" t="s">
        <v>53</v>
      </c>
      <c r="D159" s="10">
        <v>36249.4</v>
      </c>
      <c r="E159" s="10">
        <v>3503.32</v>
      </c>
      <c r="F159" s="10">
        <v>25.3</v>
      </c>
      <c r="G159" s="10">
        <v>83.6449</v>
      </c>
      <c r="H159" s="10">
        <v>1593.54</v>
      </c>
      <c r="I159" s="10">
        <v>16.4935</v>
      </c>
      <c r="J159" s="10">
        <v>6172.59</v>
      </c>
      <c r="K159" s="10">
        <v>1321.33</v>
      </c>
      <c r="L159" s="10">
        <v>63.043</v>
      </c>
      <c r="M159" s="10">
        <v>8.69469</v>
      </c>
      <c r="N159" s="10">
        <v>6234.58</v>
      </c>
      <c r="O159" s="10">
        <v>18.9433</v>
      </c>
      <c r="P159" s="10">
        <v>6345.36</v>
      </c>
      <c r="Q159" s="10">
        <v>8070.35</v>
      </c>
      <c r="R159" s="10">
        <v>1787.11</v>
      </c>
      <c r="S159" s="25">
        <v>204.16</v>
      </c>
      <c r="T159" s="10">
        <v>31.76647</v>
      </c>
      <c r="U159" s="26">
        <v>29.0372</v>
      </c>
      <c r="V159" s="26">
        <v>1602.4</v>
      </c>
      <c r="W159" s="27">
        <f t="shared" si="2"/>
        <v>1.81210683974039</v>
      </c>
      <c r="X159" s="27">
        <v>245558</v>
      </c>
      <c r="Y159" s="10">
        <v>498801</v>
      </c>
      <c r="Z159" s="10">
        <v>20411</v>
      </c>
      <c r="AA159" s="10">
        <v>200032</v>
      </c>
      <c r="AB159" s="10"/>
    </row>
    <row r="160" ht="21" spans="1:28">
      <c r="A160" s="10">
        <v>2015</v>
      </c>
      <c r="B160" s="10">
        <v>320000</v>
      </c>
      <c r="C160" s="24" t="s">
        <v>53</v>
      </c>
      <c r="D160" s="10">
        <v>38840</v>
      </c>
      <c r="E160" s="10">
        <v>4697.26</v>
      </c>
      <c r="F160" s="10">
        <v>32.4594</v>
      </c>
      <c r="G160" s="10">
        <v>130.3</v>
      </c>
      <c r="H160" s="10"/>
      <c r="I160" s="10">
        <v>21.4</v>
      </c>
      <c r="J160" s="10">
        <v>7062.38</v>
      </c>
      <c r="K160" s="10">
        <v>1800.47</v>
      </c>
      <c r="L160" s="10">
        <v>64</v>
      </c>
      <c r="M160" s="10">
        <v>11</v>
      </c>
      <c r="N160" s="10">
        <v>5193.48</v>
      </c>
      <c r="O160" s="10">
        <v>20</v>
      </c>
      <c r="P160" s="10">
        <v>6728.9</v>
      </c>
      <c r="Q160" s="10">
        <v>7993.09</v>
      </c>
      <c r="R160" s="10">
        <v>1761.07</v>
      </c>
      <c r="S160" s="25">
        <v>244.01</v>
      </c>
      <c r="T160" s="10">
        <v>44.53549</v>
      </c>
      <c r="U160" s="26">
        <v>28.2597</v>
      </c>
      <c r="V160" s="26">
        <v>1552.08</v>
      </c>
      <c r="W160" s="27">
        <f t="shared" si="2"/>
        <v>1.82076310499459</v>
      </c>
      <c r="X160" s="27">
        <v>245932</v>
      </c>
      <c r="Y160" s="10">
        <v>520303</v>
      </c>
      <c r="Z160" s="10">
        <v>21542</v>
      </c>
      <c r="AA160" s="10">
        <v>250290</v>
      </c>
      <c r="AB160" s="10"/>
    </row>
    <row r="161" ht="21" spans="1:28">
      <c r="A161" s="10">
        <v>2016</v>
      </c>
      <c r="B161" s="10">
        <v>320000</v>
      </c>
      <c r="C161" s="24" t="s">
        <v>53</v>
      </c>
      <c r="D161" s="10">
        <v>39083.3</v>
      </c>
      <c r="E161" s="10">
        <v>5676.85</v>
      </c>
      <c r="F161" s="10">
        <v>38.0801</v>
      </c>
      <c r="G161" s="10">
        <v>173.243</v>
      </c>
      <c r="H161" s="10"/>
      <c r="I161" s="10">
        <v>25.4074</v>
      </c>
      <c r="J161" s="10">
        <v>8165.6</v>
      </c>
      <c r="K161" s="10">
        <v>1206.6</v>
      </c>
      <c r="L161" s="10">
        <v>63.5</v>
      </c>
      <c r="M161" s="10">
        <v>9.6</v>
      </c>
      <c r="N161" s="10">
        <v>5351.93</v>
      </c>
      <c r="O161" s="10">
        <v>20.8473</v>
      </c>
      <c r="P161" s="10">
        <v>7436.86</v>
      </c>
      <c r="Q161" s="10">
        <v>8198.75</v>
      </c>
      <c r="R161" s="10">
        <v>1754.1</v>
      </c>
      <c r="S161" s="25">
        <v>253.75</v>
      </c>
      <c r="T161" s="10">
        <v>73.78539</v>
      </c>
      <c r="U161" s="26">
        <v>27.3185</v>
      </c>
      <c r="V161" s="26">
        <v>1497.3</v>
      </c>
      <c r="W161" s="27">
        <f t="shared" si="2"/>
        <v>1.82451746476992</v>
      </c>
      <c r="X161" s="27">
        <v>244215</v>
      </c>
      <c r="Y161" s="10">
        <v>543438</v>
      </c>
      <c r="Z161" s="10">
        <v>23564</v>
      </c>
      <c r="AA161" s="10">
        <v>231033</v>
      </c>
      <c r="AB161" s="10"/>
    </row>
    <row r="162" ht="21" spans="1:28">
      <c r="A162" s="10">
        <v>2017</v>
      </c>
      <c r="B162" s="10">
        <v>320000</v>
      </c>
      <c r="C162" s="24" t="s">
        <v>53</v>
      </c>
      <c r="D162" s="10">
        <v>43110.1</v>
      </c>
      <c r="E162" s="10">
        <v>6531.73</v>
      </c>
      <c r="F162" s="10">
        <v>38.3317</v>
      </c>
      <c r="G162" s="10">
        <v>161.615</v>
      </c>
      <c r="H162" s="10">
        <v>1612.23</v>
      </c>
      <c r="I162" s="10">
        <v>28.9345</v>
      </c>
      <c r="J162" s="10">
        <v>8936.45</v>
      </c>
      <c r="K162" s="10">
        <v>2066.5</v>
      </c>
      <c r="L162" s="10">
        <v>64</v>
      </c>
      <c r="M162" s="10">
        <v>8.4</v>
      </c>
      <c r="N162" s="10">
        <v>6576.55</v>
      </c>
      <c r="O162" s="10">
        <v>21.9482</v>
      </c>
      <c r="P162" s="10">
        <v>9257.65</v>
      </c>
      <c r="Q162" s="10">
        <v>8807.69</v>
      </c>
      <c r="R162" s="10">
        <v>1478.65</v>
      </c>
      <c r="S162" s="25">
        <v>297.69</v>
      </c>
      <c r="T162" s="10">
        <v>111.7396</v>
      </c>
      <c r="U162" s="26">
        <v>27.9156</v>
      </c>
      <c r="V162" s="26">
        <v>1484.6</v>
      </c>
      <c r="W162" s="27">
        <f t="shared" si="2"/>
        <v>1.88034487404015</v>
      </c>
      <c r="X162" s="27">
        <v>252892</v>
      </c>
      <c r="Y162" s="10">
        <v>560002</v>
      </c>
      <c r="Z162" s="10">
        <v>22007</v>
      </c>
      <c r="AA162" s="10">
        <v>227187</v>
      </c>
      <c r="AB162" s="10"/>
    </row>
    <row r="163" ht="21" spans="1:28">
      <c r="A163" s="10">
        <v>2018</v>
      </c>
      <c r="B163" s="10">
        <v>320000</v>
      </c>
      <c r="C163" s="24" t="s">
        <v>53</v>
      </c>
      <c r="D163" s="10">
        <v>37391.1</v>
      </c>
      <c r="E163" s="10">
        <v>7131.47</v>
      </c>
      <c r="F163" s="10">
        <v>40.8336</v>
      </c>
      <c r="G163" s="10">
        <v>188.348</v>
      </c>
      <c r="H163" s="10">
        <v>1613.28</v>
      </c>
      <c r="I163" s="10">
        <v>28.6616</v>
      </c>
      <c r="J163" s="10">
        <v>8833.19</v>
      </c>
      <c r="K163" s="10">
        <v>4814.66</v>
      </c>
      <c r="L163" s="10">
        <v>61</v>
      </c>
      <c r="M163" s="10">
        <v>8.64005</v>
      </c>
      <c r="N163" s="10">
        <v>8659.91</v>
      </c>
      <c r="O163" s="10">
        <v>24.2755</v>
      </c>
      <c r="P163" s="10">
        <v>7979.54</v>
      </c>
      <c r="Q163" s="10">
        <v>9794.01</v>
      </c>
      <c r="R163" s="10">
        <v>1566.71</v>
      </c>
      <c r="S163" s="25">
        <v>334.02</v>
      </c>
      <c r="T163" s="10">
        <v>135.6805</v>
      </c>
      <c r="U163" s="26">
        <v>32.0043</v>
      </c>
      <c r="V163" s="26">
        <v>1472.59</v>
      </c>
      <c r="W163" s="27">
        <f t="shared" si="2"/>
        <v>2.17333405768069</v>
      </c>
      <c r="X163" s="27">
        <v>260106</v>
      </c>
      <c r="Y163" s="10">
        <v>560263</v>
      </c>
      <c r="Z163" s="10">
        <v>22469</v>
      </c>
      <c r="AA163" s="10">
        <v>306996</v>
      </c>
      <c r="AB163" s="10"/>
    </row>
    <row r="164" ht="21" spans="1:28">
      <c r="A164" s="10">
        <v>2019</v>
      </c>
      <c r="B164" s="10">
        <v>320000</v>
      </c>
      <c r="C164" s="24" t="s">
        <v>53</v>
      </c>
      <c r="D164" s="10">
        <v>39107.2</v>
      </c>
      <c r="E164" s="10">
        <v>7248.96</v>
      </c>
      <c r="F164" s="10">
        <v>53.6159</v>
      </c>
      <c r="G164" s="10">
        <v>242.539</v>
      </c>
      <c r="H164" s="10">
        <v>1614.08</v>
      </c>
      <c r="I164" s="10">
        <v>30.9032</v>
      </c>
      <c r="J164" s="10">
        <v>9779.31</v>
      </c>
      <c r="K164" s="10">
        <v>7545.4</v>
      </c>
      <c r="L164" s="10">
        <v>60.2</v>
      </c>
      <c r="M164" s="10">
        <v>9.4</v>
      </c>
      <c r="N164" s="10">
        <v>9873.81</v>
      </c>
      <c r="O164" s="10">
        <v>26.9399</v>
      </c>
      <c r="P164" s="10">
        <v>8452.6</v>
      </c>
      <c r="Q164" s="10">
        <v>10165.9</v>
      </c>
      <c r="R164" s="10">
        <v>1499.96</v>
      </c>
      <c r="S164" s="25">
        <v>361.93</v>
      </c>
      <c r="T164" s="10">
        <v>183.8658</v>
      </c>
      <c r="U164" s="26">
        <v>32.4252</v>
      </c>
      <c r="V164" s="26">
        <v>1332.32</v>
      </c>
      <c r="W164" s="27">
        <f t="shared" si="2"/>
        <v>2.43373964212802</v>
      </c>
      <c r="X164" s="27">
        <v>266596</v>
      </c>
      <c r="Y164" s="10">
        <v>635279</v>
      </c>
      <c r="Z164" s="10">
        <v>23015</v>
      </c>
      <c r="AA164" s="10">
        <v>314395</v>
      </c>
      <c r="AB164" s="10"/>
    </row>
    <row r="165" ht="21" spans="1:28">
      <c r="A165" s="10">
        <v>2020</v>
      </c>
      <c r="B165" s="10">
        <v>320000</v>
      </c>
      <c r="C165" s="24" t="s">
        <v>53</v>
      </c>
      <c r="D165" s="10">
        <v>40429</v>
      </c>
      <c r="E165" s="10">
        <v>7224.9</v>
      </c>
      <c r="F165" s="10">
        <v>61.6</v>
      </c>
      <c r="G165" s="10">
        <v>206.7</v>
      </c>
      <c r="H165" s="10">
        <v>1621.6</v>
      </c>
      <c r="I165" s="10">
        <v>33.1448</v>
      </c>
      <c r="J165" s="10">
        <v>10818.1</v>
      </c>
      <c r="K165" s="10">
        <v>9188.72</v>
      </c>
      <c r="L165" s="10">
        <v>55</v>
      </c>
      <c r="M165" s="10">
        <v>10.4</v>
      </c>
      <c r="N165" s="10">
        <v>13189.1</v>
      </c>
      <c r="O165" s="10">
        <v>29</v>
      </c>
      <c r="P165" s="10">
        <v>8428.7</v>
      </c>
      <c r="Q165" s="10">
        <v>9897.1</v>
      </c>
      <c r="R165" s="10">
        <v>1515.34</v>
      </c>
      <c r="S165" s="25">
        <v>381.61</v>
      </c>
      <c r="T165" s="10">
        <v>284.2997</v>
      </c>
      <c r="U165" s="26">
        <v>32.8454</v>
      </c>
      <c r="V165" s="26">
        <v>1342.51</v>
      </c>
      <c r="W165" s="27">
        <f t="shared" si="2"/>
        <v>2.4465665060223</v>
      </c>
      <c r="X165" s="27">
        <v>281438</v>
      </c>
      <c r="Y165" s="10">
        <v>669084</v>
      </c>
      <c r="Z165" s="10">
        <v>19147</v>
      </c>
      <c r="AA165" s="10">
        <v>499167</v>
      </c>
      <c r="AB165" s="10"/>
    </row>
    <row r="166" ht="21" spans="1:28">
      <c r="A166" s="10">
        <v>2021</v>
      </c>
      <c r="B166" s="10">
        <v>320000</v>
      </c>
      <c r="C166" s="24" t="s">
        <v>53</v>
      </c>
      <c r="D166" s="10">
        <v>39572.3</v>
      </c>
      <c r="E166" s="10">
        <v>7464.34</v>
      </c>
      <c r="F166" s="10">
        <v>66.6895</v>
      </c>
      <c r="G166" s="10">
        <v>172.463</v>
      </c>
      <c r="H166" s="10">
        <v>1613.39</v>
      </c>
      <c r="I166" s="10">
        <v>36.1873</v>
      </c>
      <c r="J166" s="10">
        <v>11386.2</v>
      </c>
      <c r="K166" s="10">
        <v>1328.81</v>
      </c>
      <c r="L166" s="10">
        <v>52.6</v>
      </c>
      <c r="M166" s="10">
        <v>10.4</v>
      </c>
      <c r="N166" s="10">
        <v>13386.1</v>
      </c>
      <c r="O166" s="10">
        <v>31.3014</v>
      </c>
      <c r="P166" s="10">
        <v>8753.62</v>
      </c>
      <c r="Q166" s="10">
        <v>10179.5</v>
      </c>
      <c r="R166" s="10">
        <v>1332.24</v>
      </c>
      <c r="S166" s="25">
        <v>401.38</v>
      </c>
      <c r="T166" s="10">
        <v>265.4665</v>
      </c>
      <c r="U166" s="26">
        <v>34.6368</v>
      </c>
      <c r="V166" s="26">
        <v>1314.02</v>
      </c>
      <c r="W166" s="27">
        <f t="shared" si="2"/>
        <v>2.63594161428289</v>
      </c>
      <c r="X166" s="27">
        <v>278580</v>
      </c>
      <c r="Y166" s="10">
        <v>755899</v>
      </c>
      <c r="Z166" s="10">
        <v>17805</v>
      </c>
      <c r="AA166" s="10">
        <v>640917</v>
      </c>
      <c r="AB166" s="10"/>
    </row>
    <row r="167" ht="21" spans="1:28">
      <c r="A167" s="10">
        <v>2022</v>
      </c>
      <c r="B167" s="10">
        <v>320000</v>
      </c>
      <c r="C167" s="24" t="s">
        <v>53</v>
      </c>
      <c r="D167" s="10">
        <v>40960.5</v>
      </c>
      <c r="E167" s="10">
        <v>7704.96</v>
      </c>
      <c r="F167" s="10">
        <v>73.599</v>
      </c>
      <c r="G167" s="10">
        <v>150.734</v>
      </c>
      <c r="H167" s="10">
        <v>1633.76</v>
      </c>
      <c r="I167" s="10">
        <v>33.1017</v>
      </c>
      <c r="J167" s="10">
        <v>13016</v>
      </c>
      <c r="K167" s="10">
        <v>1372.2</v>
      </c>
      <c r="L167" s="10">
        <v>45.2</v>
      </c>
      <c r="M167" s="10">
        <v>9.62581</v>
      </c>
      <c r="N167" s="10">
        <v>22553.6</v>
      </c>
      <c r="O167" s="10">
        <v>32.7477</v>
      </c>
      <c r="P167" s="10">
        <v>9039.37</v>
      </c>
      <c r="Q167" s="10">
        <v>10566.9</v>
      </c>
      <c r="R167" s="10">
        <v>1243.07</v>
      </c>
      <c r="S167" s="25">
        <v>421.17</v>
      </c>
      <c r="T167" s="10">
        <v>273.9009</v>
      </c>
      <c r="U167" s="26">
        <v>35.1381</v>
      </c>
      <c r="V167" s="26">
        <v>1283.03</v>
      </c>
      <c r="W167" s="27">
        <f t="shared" si="2"/>
        <v>2.73868109085524</v>
      </c>
      <c r="X167" s="27">
        <v>302136</v>
      </c>
      <c r="Y167" s="10">
        <v>824682</v>
      </c>
      <c r="Z167" s="10">
        <v>19586</v>
      </c>
      <c r="AA167" s="10">
        <v>560127</v>
      </c>
      <c r="AB167" s="10"/>
    </row>
    <row r="168" ht="21" spans="1:28">
      <c r="A168" s="10">
        <v>2023</v>
      </c>
      <c r="B168" s="10">
        <v>320000</v>
      </c>
      <c r="C168" s="24" t="s">
        <v>53</v>
      </c>
      <c r="D168" s="10">
        <v>42280</v>
      </c>
      <c r="E168" s="10">
        <v>8009.1</v>
      </c>
      <c r="F168" s="10">
        <v>78.1</v>
      </c>
      <c r="G168" s="10">
        <v>123.3</v>
      </c>
      <c r="H168" s="10">
        <v>1612.7</v>
      </c>
      <c r="I168" s="10">
        <v>33.0587</v>
      </c>
      <c r="J168" s="10">
        <v>14386.3</v>
      </c>
      <c r="K168" s="10">
        <v>1468.3</v>
      </c>
      <c r="L168" s="10">
        <v>44.1551</v>
      </c>
      <c r="M168" s="10">
        <v>12.0058</v>
      </c>
      <c r="N168" s="10">
        <v>28716.5</v>
      </c>
      <c r="O168" s="10">
        <v>34.4379</v>
      </c>
      <c r="P168" s="10">
        <v>9386.5</v>
      </c>
      <c r="Q168" s="10">
        <v>11027.3</v>
      </c>
      <c r="R168" s="10"/>
      <c r="S168" s="25">
        <v>441.03</v>
      </c>
      <c r="T168" s="10">
        <v>287.9265</v>
      </c>
      <c r="U168" s="26">
        <v>37.2972</v>
      </c>
      <c r="V168" s="26">
        <v>1311.38</v>
      </c>
      <c r="W168" s="27">
        <f t="shared" si="2"/>
        <v>2.8441184096143</v>
      </c>
      <c r="X168" s="27">
        <v>305547</v>
      </c>
      <c r="Y168" s="10">
        <v>899543</v>
      </c>
      <c r="Z168" s="10">
        <v>19336</v>
      </c>
      <c r="AA168" s="10">
        <v>447006</v>
      </c>
      <c r="AB168" s="10"/>
    </row>
    <row r="169" ht="21" spans="1:28">
      <c r="A169" s="10">
        <v>2013</v>
      </c>
      <c r="B169" s="10">
        <v>360000</v>
      </c>
      <c r="C169" s="24" t="s">
        <v>54</v>
      </c>
      <c r="D169" s="10">
        <v>18224</v>
      </c>
      <c r="E169" s="10">
        <v>868.6</v>
      </c>
      <c r="F169" s="10">
        <v>7.6364</v>
      </c>
      <c r="G169" s="10">
        <v>9.6139</v>
      </c>
      <c r="H169" s="10">
        <v>1083.08</v>
      </c>
      <c r="I169" s="10">
        <v>2.2404</v>
      </c>
      <c r="J169" s="10">
        <v>65.0215</v>
      </c>
      <c r="K169" s="10">
        <v>338.286</v>
      </c>
      <c r="L169" s="10">
        <v>57.7037</v>
      </c>
      <c r="M169" s="10">
        <v>3.23743</v>
      </c>
      <c r="N169" s="10">
        <v>739.459</v>
      </c>
      <c r="O169" s="10">
        <v>12.1543</v>
      </c>
      <c r="P169" s="10"/>
      <c r="Q169" s="10">
        <v>2806.9</v>
      </c>
      <c r="R169" s="10">
        <v>420.3</v>
      </c>
      <c r="S169" s="25">
        <v>146.13</v>
      </c>
      <c r="T169" s="10">
        <v>1.322573</v>
      </c>
      <c r="U169" s="26">
        <v>6.3475</v>
      </c>
      <c r="V169" s="26">
        <v>445.007</v>
      </c>
      <c r="W169" s="27">
        <f t="shared" si="2"/>
        <v>1.42638205691146</v>
      </c>
      <c r="X169" s="27">
        <v>101020</v>
      </c>
      <c r="Y169" s="10">
        <v>43512.1</v>
      </c>
      <c r="Z169" s="10">
        <v>710</v>
      </c>
      <c r="AA169" s="10">
        <v>9970</v>
      </c>
      <c r="AB169" s="10"/>
    </row>
    <row r="170" ht="21" spans="1:28">
      <c r="A170" s="10">
        <v>2014</v>
      </c>
      <c r="B170" s="10">
        <v>360000</v>
      </c>
      <c r="C170" s="24" t="s">
        <v>54</v>
      </c>
      <c r="D170" s="10">
        <v>19997.8</v>
      </c>
      <c r="E170" s="10">
        <v>975.14</v>
      </c>
      <c r="F170" s="10">
        <v>10.1</v>
      </c>
      <c r="G170" s="10">
        <v>18.0127</v>
      </c>
      <c r="H170" s="10">
        <v>584.299</v>
      </c>
      <c r="I170" s="10">
        <v>2.314</v>
      </c>
      <c r="J170" s="10">
        <v>76.1233</v>
      </c>
      <c r="K170" s="10">
        <v>394.38</v>
      </c>
      <c r="L170" s="10">
        <v>62.0964</v>
      </c>
      <c r="M170" s="10">
        <v>5.15743</v>
      </c>
      <c r="N170" s="10">
        <v>983.257</v>
      </c>
      <c r="O170" s="10">
        <v>13.9424</v>
      </c>
      <c r="P170" s="10">
        <v>1914.57</v>
      </c>
      <c r="Q170" s="10">
        <v>2938.48</v>
      </c>
      <c r="R170" s="10">
        <v>498.801</v>
      </c>
      <c r="S170" s="25">
        <v>175.69</v>
      </c>
      <c r="T170" s="10">
        <v>1.5681</v>
      </c>
      <c r="U170" s="26">
        <v>7.1548</v>
      </c>
      <c r="V170" s="26">
        <v>465.262</v>
      </c>
      <c r="W170" s="27">
        <f t="shared" si="2"/>
        <v>1.53780020719509</v>
      </c>
      <c r="X170" s="27">
        <v>111412</v>
      </c>
      <c r="Y170" s="10">
        <v>43469</v>
      </c>
      <c r="Z170" s="10">
        <v>845</v>
      </c>
      <c r="AA170" s="10">
        <v>13831</v>
      </c>
      <c r="AB170" s="10"/>
    </row>
    <row r="171" ht="21" spans="1:28">
      <c r="A171" s="10">
        <v>2015</v>
      </c>
      <c r="B171" s="10">
        <v>360000</v>
      </c>
      <c r="C171" s="24" t="s">
        <v>54</v>
      </c>
      <c r="D171" s="10">
        <v>21115</v>
      </c>
      <c r="E171" s="10">
        <v>1693.24</v>
      </c>
      <c r="F171" s="10">
        <v>13.8222</v>
      </c>
      <c r="G171" s="10">
        <v>35.6</v>
      </c>
      <c r="H171" s="10"/>
      <c r="I171" s="10">
        <v>3.1</v>
      </c>
      <c r="J171" s="10">
        <v>86.3578</v>
      </c>
      <c r="K171" s="10">
        <v>550.37</v>
      </c>
      <c r="L171" s="10">
        <v>60</v>
      </c>
      <c r="M171" s="10">
        <v>9.4</v>
      </c>
      <c r="N171" s="10">
        <v>1989.96</v>
      </c>
      <c r="O171" s="10">
        <v>14.5653</v>
      </c>
      <c r="P171" s="10">
        <v>2167.13</v>
      </c>
      <c r="Q171" s="10">
        <v>3030.4</v>
      </c>
      <c r="R171" s="10">
        <v>573.14</v>
      </c>
      <c r="S171" s="25">
        <v>208.35</v>
      </c>
      <c r="T171" s="10">
        <v>2.929806</v>
      </c>
      <c r="U171" s="26">
        <v>6.7028</v>
      </c>
      <c r="V171" s="26">
        <v>480.495</v>
      </c>
      <c r="W171" s="27">
        <f t="shared" si="2"/>
        <v>1.39497809550568</v>
      </c>
      <c r="X171" s="27">
        <v>114970</v>
      </c>
      <c r="Y171" s="10">
        <v>46547.7</v>
      </c>
      <c r="Z171" s="10">
        <v>838</v>
      </c>
      <c r="AA171" s="10">
        <v>24161</v>
      </c>
      <c r="AB171" s="10"/>
    </row>
    <row r="172" ht="21" spans="1:28">
      <c r="A172" s="10">
        <v>2016</v>
      </c>
      <c r="B172" s="10">
        <v>360000</v>
      </c>
      <c r="C172" s="24" t="s">
        <v>54</v>
      </c>
      <c r="D172" s="10">
        <v>21496.5</v>
      </c>
      <c r="E172" s="10">
        <v>2055.59</v>
      </c>
      <c r="F172" s="10">
        <v>18.2868</v>
      </c>
      <c r="G172" s="10">
        <v>38.4982</v>
      </c>
      <c r="H172" s="10"/>
      <c r="I172" s="10">
        <v>3.7191</v>
      </c>
      <c r="J172" s="10">
        <v>87.0067</v>
      </c>
      <c r="K172" s="10">
        <v>386.54</v>
      </c>
      <c r="L172" s="10">
        <v>52.7</v>
      </c>
      <c r="M172" s="10">
        <v>7.3</v>
      </c>
      <c r="N172" s="10">
        <v>2288.08</v>
      </c>
      <c r="O172" s="10">
        <v>15.3498</v>
      </c>
      <c r="P172" s="10">
        <v>2602.79</v>
      </c>
      <c r="Q172" s="10">
        <v>3140.68</v>
      </c>
      <c r="R172" s="10">
        <v>585.94</v>
      </c>
      <c r="S172" s="25">
        <v>223.76</v>
      </c>
      <c r="T172" s="10">
        <v>6.275649</v>
      </c>
      <c r="U172" s="26">
        <v>5.5967</v>
      </c>
      <c r="V172" s="26">
        <v>471.472</v>
      </c>
      <c r="W172" s="27">
        <f t="shared" si="2"/>
        <v>1.18706943360369</v>
      </c>
      <c r="X172" s="27">
        <v>121461</v>
      </c>
      <c r="Y172" s="10">
        <v>50619.6</v>
      </c>
      <c r="Z172" s="10">
        <v>1260</v>
      </c>
      <c r="AA172" s="10">
        <v>31472</v>
      </c>
      <c r="AB172" s="10"/>
    </row>
    <row r="173" ht="21" spans="1:28">
      <c r="A173" s="10">
        <v>2017</v>
      </c>
      <c r="B173" s="10">
        <v>360000</v>
      </c>
      <c r="C173" s="24" t="s">
        <v>54</v>
      </c>
      <c r="D173" s="10">
        <v>25397.5</v>
      </c>
      <c r="E173" s="10">
        <v>1985.92</v>
      </c>
      <c r="F173" s="10">
        <v>18.8812</v>
      </c>
      <c r="G173" s="10">
        <v>33.2293</v>
      </c>
      <c r="H173" s="10">
        <v>585.959</v>
      </c>
      <c r="I173" s="10">
        <v>4.4145</v>
      </c>
      <c r="J173" s="10">
        <v>106.618</v>
      </c>
      <c r="K173" s="10">
        <v>661.48</v>
      </c>
      <c r="L173" s="10">
        <v>53</v>
      </c>
      <c r="M173" s="10">
        <v>7.7</v>
      </c>
      <c r="N173" s="10">
        <v>2871.04</v>
      </c>
      <c r="O173" s="10">
        <v>17.2312</v>
      </c>
      <c r="P173" s="10">
        <v>3079.28</v>
      </c>
      <c r="Q173" s="10">
        <v>3449.18</v>
      </c>
      <c r="R173" s="10">
        <v>581.89</v>
      </c>
      <c r="S173" s="25">
        <v>267.17</v>
      </c>
      <c r="T173" s="10">
        <v>13.18509</v>
      </c>
      <c r="U173" s="26">
        <v>6.2728</v>
      </c>
      <c r="V173" s="26">
        <v>463.541</v>
      </c>
      <c r="W173" s="27">
        <f t="shared" si="2"/>
        <v>1.35323520465288</v>
      </c>
      <c r="X173" s="27">
        <v>122575</v>
      </c>
      <c r="Y173" s="10">
        <v>61897</v>
      </c>
      <c r="Z173" s="10">
        <v>1880</v>
      </c>
      <c r="AA173" s="10">
        <v>33029</v>
      </c>
      <c r="AB173" s="10"/>
    </row>
    <row r="174" ht="21" spans="1:28">
      <c r="A174" s="10">
        <v>2018</v>
      </c>
      <c r="B174" s="10">
        <v>360000</v>
      </c>
      <c r="C174" s="24" t="s">
        <v>54</v>
      </c>
      <c r="D174" s="10">
        <v>28385.2</v>
      </c>
      <c r="E174" s="10">
        <v>2032.68</v>
      </c>
      <c r="F174" s="10">
        <v>19.2899</v>
      </c>
      <c r="G174" s="10">
        <v>77.1029</v>
      </c>
      <c r="H174" s="10">
        <v>586.339</v>
      </c>
      <c r="I174" s="10">
        <v>4.9744</v>
      </c>
      <c r="J174" s="10">
        <v>152.939</v>
      </c>
      <c r="K174" s="10">
        <v>1609.18</v>
      </c>
      <c r="L174" s="10">
        <v>51</v>
      </c>
      <c r="M174" s="10">
        <v>8.25695</v>
      </c>
      <c r="N174" s="10">
        <v>2817.87</v>
      </c>
      <c r="O174" s="10">
        <v>19.1496</v>
      </c>
      <c r="P174" s="10">
        <v>3340.8</v>
      </c>
      <c r="Q174" s="10">
        <v>4043.46</v>
      </c>
      <c r="R174" s="10">
        <v>576.74</v>
      </c>
      <c r="S174" s="25">
        <v>296.23</v>
      </c>
      <c r="T174" s="10">
        <v>14.99354</v>
      </c>
      <c r="U174" s="26">
        <v>5.5363</v>
      </c>
      <c r="V174" s="26">
        <v>435.743</v>
      </c>
      <c r="W174" s="27">
        <f t="shared" si="2"/>
        <v>1.27054249867468</v>
      </c>
      <c r="X174" s="27">
        <v>126875</v>
      </c>
      <c r="Y174" s="10">
        <v>85255.2</v>
      </c>
      <c r="Z174" s="10">
        <v>2781</v>
      </c>
      <c r="AA174" s="10">
        <v>52819</v>
      </c>
      <c r="AB174" s="10"/>
    </row>
    <row r="175" ht="21" spans="1:28">
      <c r="A175" s="10">
        <v>2019</v>
      </c>
      <c r="B175" s="10">
        <v>360000</v>
      </c>
      <c r="C175" s="24" t="s">
        <v>54</v>
      </c>
      <c r="D175" s="10">
        <v>31536.9</v>
      </c>
      <c r="E175" s="10">
        <v>2369.5</v>
      </c>
      <c r="F175" s="10">
        <v>24.1868</v>
      </c>
      <c r="G175" s="10">
        <v>156.676</v>
      </c>
      <c r="H175" s="10">
        <v>586.631</v>
      </c>
      <c r="I175" s="10">
        <v>5.16715</v>
      </c>
      <c r="J175" s="10">
        <v>181.957</v>
      </c>
      <c r="K175" s="10">
        <v>2838.5</v>
      </c>
      <c r="L175" s="10">
        <v>48.7</v>
      </c>
      <c r="M175" s="10">
        <v>9.1</v>
      </c>
      <c r="N175" s="10">
        <v>2968.47</v>
      </c>
      <c r="O175" s="10">
        <v>21.5488</v>
      </c>
      <c r="P175" s="10">
        <v>3506.44</v>
      </c>
      <c r="Q175" s="10">
        <v>4157.14</v>
      </c>
      <c r="R175" s="10">
        <v>526.85</v>
      </c>
      <c r="S175" s="25">
        <v>319.13</v>
      </c>
      <c r="T175" s="10">
        <v>17.76431</v>
      </c>
      <c r="U175" s="26">
        <v>5.4661</v>
      </c>
      <c r="V175" s="26">
        <v>451.724</v>
      </c>
      <c r="W175" s="27">
        <f t="shared" si="2"/>
        <v>1.21005304123757</v>
      </c>
      <c r="X175" s="27">
        <v>122933</v>
      </c>
      <c r="Y175" s="10">
        <v>105593</v>
      </c>
      <c r="Z175" s="10">
        <v>3757</v>
      </c>
      <c r="AA175" s="10">
        <v>59140</v>
      </c>
      <c r="AB175" s="10"/>
    </row>
    <row r="176" ht="21" spans="1:28">
      <c r="A176" s="10">
        <v>2020</v>
      </c>
      <c r="B176" s="10">
        <v>360000</v>
      </c>
      <c r="C176" s="24" t="s">
        <v>54</v>
      </c>
      <c r="D176" s="10">
        <v>33442</v>
      </c>
      <c r="E176" s="10">
        <v>2532.9</v>
      </c>
      <c r="F176" s="10">
        <v>26.2</v>
      </c>
      <c r="G176" s="10">
        <v>130.7</v>
      </c>
      <c r="H176" s="10">
        <v>589.4</v>
      </c>
      <c r="I176" s="10">
        <v>5.3599</v>
      </c>
      <c r="J176" s="10">
        <v>215.78</v>
      </c>
      <c r="K176" s="10">
        <v>3537.88</v>
      </c>
      <c r="L176" s="10">
        <v>49</v>
      </c>
      <c r="M176" s="10">
        <v>10.2</v>
      </c>
      <c r="N176" s="10">
        <v>3294.2</v>
      </c>
      <c r="O176" s="10">
        <v>24</v>
      </c>
      <c r="P176" s="10">
        <v>3599.3</v>
      </c>
      <c r="Q176" s="10">
        <v>4249.4</v>
      </c>
      <c r="R176" s="10">
        <v>528.27</v>
      </c>
      <c r="S176" s="25">
        <v>340.61</v>
      </c>
      <c r="T176" s="10">
        <v>30.10378</v>
      </c>
      <c r="U176" s="26">
        <v>5.4884</v>
      </c>
      <c r="V176" s="26">
        <v>451.509</v>
      </c>
      <c r="W176" s="27">
        <f t="shared" si="2"/>
        <v>1.21556823894983</v>
      </c>
      <c r="X176" s="27">
        <v>134251</v>
      </c>
      <c r="Y176" s="10">
        <v>124326</v>
      </c>
      <c r="Z176" s="10">
        <v>4380</v>
      </c>
      <c r="AA176" s="10">
        <v>80239</v>
      </c>
      <c r="AB176" s="10"/>
    </row>
    <row r="177" ht="21" spans="1:28">
      <c r="A177" s="10">
        <v>2021</v>
      </c>
      <c r="B177" s="10">
        <v>360000</v>
      </c>
      <c r="C177" s="24" t="s">
        <v>54</v>
      </c>
      <c r="D177" s="10">
        <v>33532.5</v>
      </c>
      <c r="E177" s="10">
        <v>2642.31</v>
      </c>
      <c r="F177" s="10">
        <v>28.1262</v>
      </c>
      <c r="G177" s="10">
        <v>57.2587</v>
      </c>
      <c r="H177" s="10">
        <v>586.355</v>
      </c>
      <c r="I177" s="10">
        <v>5.9492</v>
      </c>
      <c r="J177" s="10">
        <v>218.42</v>
      </c>
      <c r="K177" s="10">
        <v>428</v>
      </c>
      <c r="L177" s="10">
        <v>48.3</v>
      </c>
      <c r="M177" s="10">
        <v>10.6</v>
      </c>
      <c r="N177" s="10">
        <v>3807.72</v>
      </c>
      <c r="O177" s="10">
        <v>24.5404</v>
      </c>
      <c r="P177" s="10">
        <v>3855.94</v>
      </c>
      <c r="Q177" s="10">
        <v>4496.76</v>
      </c>
      <c r="R177" s="10">
        <v>500.78</v>
      </c>
      <c r="S177" s="25">
        <v>362.96</v>
      </c>
      <c r="T177" s="10">
        <v>25.30935</v>
      </c>
      <c r="U177" s="26">
        <v>5.7081</v>
      </c>
      <c r="V177" s="26">
        <v>447.998</v>
      </c>
      <c r="W177" s="27">
        <f t="shared" si="2"/>
        <v>1.27413515238907</v>
      </c>
      <c r="X177" s="27">
        <v>135101</v>
      </c>
      <c r="Y177" s="10">
        <v>124785</v>
      </c>
      <c r="Z177" s="10">
        <v>5270</v>
      </c>
      <c r="AA177" s="10">
        <v>97372</v>
      </c>
      <c r="AB177" s="10"/>
    </row>
    <row r="178" ht="21" spans="1:28">
      <c r="A178" s="10">
        <v>2022</v>
      </c>
      <c r="B178" s="10">
        <v>360000</v>
      </c>
      <c r="C178" s="24" t="s">
        <v>54</v>
      </c>
      <c r="D178" s="10">
        <v>27646.4</v>
      </c>
      <c r="E178" s="10">
        <v>2705.31</v>
      </c>
      <c r="F178" s="10">
        <v>31.373</v>
      </c>
      <c r="G178" s="10">
        <v>48.179</v>
      </c>
      <c r="H178" s="10">
        <v>593.784</v>
      </c>
      <c r="I178" s="10">
        <v>5.5223</v>
      </c>
      <c r="J178" s="10">
        <v>274.774</v>
      </c>
      <c r="K178" s="10">
        <v>439.107</v>
      </c>
      <c r="L178" s="10">
        <v>39</v>
      </c>
      <c r="M178" s="10">
        <v>9.79184</v>
      </c>
      <c r="N178" s="10">
        <v>3908.25</v>
      </c>
      <c r="O178" s="10">
        <v>25.4676</v>
      </c>
      <c r="P178" s="10">
        <v>3974.73</v>
      </c>
      <c r="Q178" s="10">
        <v>4694.53</v>
      </c>
      <c r="R178" s="10">
        <v>506.395</v>
      </c>
      <c r="S178" s="25">
        <v>386.1</v>
      </c>
      <c r="T178" s="10">
        <v>26.30013</v>
      </c>
      <c r="U178" s="26">
        <v>5.7043</v>
      </c>
      <c r="V178" s="26">
        <v>436.947</v>
      </c>
      <c r="W178" s="27">
        <f t="shared" si="2"/>
        <v>1.30549013953637</v>
      </c>
      <c r="X178" s="27">
        <v>165786</v>
      </c>
      <c r="Y178" s="10">
        <v>131673</v>
      </c>
      <c r="Z178" s="10">
        <v>5774</v>
      </c>
      <c r="AA178" s="10">
        <v>75830</v>
      </c>
      <c r="AB178" s="10"/>
    </row>
    <row r="179" ht="21" spans="1:28">
      <c r="A179" s="10">
        <v>2023</v>
      </c>
      <c r="B179" s="10">
        <v>360000</v>
      </c>
      <c r="C179" s="24" t="s">
        <v>54</v>
      </c>
      <c r="D179" s="10">
        <v>29588</v>
      </c>
      <c r="E179" s="10">
        <v>2834.5</v>
      </c>
      <c r="F179" s="10">
        <v>34.6</v>
      </c>
      <c r="G179" s="10">
        <v>44.9</v>
      </c>
      <c r="H179" s="10">
        <v>586.75</v>
      </c>
      <c r="I179" s="10">
        <v>5.5972</v>
      </c>
      <c r="J179" s="10">
        <v>269.28</v>
      </c>
      <c r="K179" s="10">
        <v>459.21</v>
      </c>
      <c r="L179" s="10">
        <v>36.6244</v>
      </c>
      <c r="M179" s="10">
        <v>13.601</v>
      </c>
      <c r="N179" s="10">
        <v>5007.84</v>
      </c>
      <c r="O179" s="10">
        <v>29.0448</v>
      </c>
      <c r="P179" s="10">
        <v>4173.6</v>
      </c>
      <c r="Q179" s="10">
        <v>4851</v>
      </c>
      <c r="R179" s="10"/>
      <c r="S179" s="25">
        <v>409.4</v>
      </c>
      <c r="T179" s="10">
        <v>33.33536</v>
      </c>
      <c r="U179" s="26">
        <v>6.2751</v>
      </c>
      <c r="V179" s="26">
        <v>419.436</v>
      </c>
      <c r="W179" s="27">
        <f t="shared" si="2"/>
        <v>1.4960804508912</v>
      </c>
      <c r="X179" s="27">
        <v>179152</v>
      </c>
      <c r="Y179" s="10">
        <v>160685</v>
      </c>
      <c r="Z179" s="10">
        <v>7095</v>
      </c>
      <c r="AA179" s="10">
        <v>60120</v>
      </c>
      <c r="AB179" s="10"/>
    </row>
    <row r="180" ht="21" spans="1:28">
      <c r="A180" s="10">
        <v>2013</v>
      </c>
      <c r="B180" s="10">
        <v>210000</v>
      </c>
      <c r="C180" s="24" t="s">
        <v>55</v>
      </c>
      <c r="D180" s="10">
        <v>24508</v>
      </c>
      <c r="E180" s="10">
        <v>1631.4</v>
      </c>
      <c r="F180" s="10">
        <v>8.3869</v>
      </c>
      <c r="G180" s="10">
        <v>22.3388</v>
      </c>
      <c r="H180" s="10">
        <v>875.418</v>
      </c>
      <c r="I180" s="10">
        <v>8.648</v>
      </c>
      <c r="J180" s="10">
        <v>2779.5</v>
      </c>
      <c r="K180" s="10">
        <v>532.062</v>
      </c>
      <c r="L180" s="10">
        <v>41.9272</v>
      </c>
      <c r="M180" s="10">
        <v>2.00576</v>
      </c>
      <c r="N180" s="10">
        <v>1327.58</v>
      </c>
      <c r="O180" s="10">
        <v>15.6601</v>
      </c>
      <c r="P180" s="10"/>
      <c r="Q180" s="10">
        <v>4583.6</v>
      </c>
      <c r="R180" s="10">
        <v>672.85</v>
      </c>
      <c r="S180" s="25">
        <v>160.07</v>
      </c>
      <c r="T180" s="10">
        <v>4.142153</v>
      </c>
      <c r="U180" s="26">
        <v>12.7133</v>
      </c>
      <c r="V180" s="26">
        <v>689.07</v>
      </c>
      <c r="W180" s="27">
        <f t="shared" si="2"/>
        <v>1.84499397738982</v>
      </c>
      <c r="X180" s="27">
        <v>146687</v>
      </c>
      <c r="Y180" s="10">
        <v>94885.2</v>
      </c>
      <c r="Z180" s="10">
        <v>758</v>
      </c>
      <c r="AA180" s="10">
        <v>21656</v>
      </c>
      <c r="AB180" s="10"/>
    </row>
    <row r="181" ht="21" spans="1:28">
      <c r="A181" s="10">
        <v>2014</v>
      </c>
      <c r="B181" s="10">
        <v>210000</v>
      </c>
      <c r="C181" s="24" t="s">
        <v>55</v>
      </c>
      <c r="D181" s="10">
        <v>24582.7</v>
      </c>
      <c r="E181" s="10">
        <v>2083.51</v>
      </c>
      <c r="F181" s="10">
        <v>12.7</v>
      </c>
      <c r="G181" s="10">
        <v>30.2609</v>
      </c>
      <c r="H181" s="10">
        <v>1122.12</v>
      </c>
      <c r="I181" s="10">
        <v>9.6599</v>
      </c>
      <c r="J181" s="10">
        <v>3061.37</v>
      </c>
      <c r="K181" s="10">
        <v>587.8</v>
      </c>
      <c r="L181" s="10">
        <v>48.6935</v>
      </c>
      <c r="M181" s="10">
        <v>2.85514</v>
      </c>
      <c r="N181" s="10">
        <v>1720.21</v>
      </c>
      <c r="O181" s="10">
        <v>18.2449</v>
      </c>
      <c r="P181" s="10">
        <v>2797.28</v>
      </c>
      <c r="Q181" s="10">
        <v>4535.55</v>
      </c>
      <c r="R181" s="10">
        <v>716.223</v>
      </c>
      <c r="S181" s="25">
        <v>187.61</v>
      </c>
      <c r="T181" s="10">
        <v>3.504834</v>
      </c>
      <c r="U181" s="26">
        <v>12.9648</v>
      </c>
      <c r="V181" s="26">
        <v>665.173</v>
      </c>
      <c r="W181" s="27">
        <f t="shared" si="2"/>
        <v>1.94908692926502</v>
      </c>
      <c r="X181" s="27">
        <v>152303</v>
      </c>
      <c r="Y181" s="10">
        <v>99586</v>
      </c>
      <c r="Z181" s="10">
        <v>709</v>
      </c>
      <c r="AA181" s="10">
        <v>19525</v>
      </c>
      <c r="AB181" s="10"/>
    </row>
    <row r="182" ht="21" spans="1:28">
      <c r="A182" s="10">
        <v>2015</v>
      </c>
      <c r="B182" s="10">
        <v>210000</v>
      </c>
      <c r="C182" s="24" t="s">
        <v>55</v>
      </c>
      <c r="D182" s="10">
        <v>24636</v>
      </c>
      <c r="E182" s="10">
        <v>2710.76</v>
      </c>
      <c r="F182" s="10">
        <v>16.7023</v>
      </c>
      <c r="G182" s="10">
        <v>48.2</v>
      </c>
      <c r="H182" s="10"/>
      <c r="I182" s="10">
        <v>11.1</v>
      </c>
      <c r="J182" s="10">
        <v>3034.22</v>
      </c>
      <c r="K182" s="10">
        <v>729.4</v>
      </c>
      <c r="L182" s="10">
        <v>51</v>
      </c>
      <c r="M182" s="10">
        <v>5</v>
      </c>
      <c r="N182" s="10">
        <v>2541.03</v>
      </c>
      <c r="O182" s="10">
        <v>21.8613</v>
      </c>
      <c r="P182" s="10">
        <v>3160.9</v>
      </c>
      <c r="Q182" s="10">
        <v>4289.81</v>
      </c>
      <c r="R182" s="10">
        <v>782.629</v>
      </c>
      <c r="S182" s="25">
        <v>226.4</v>
      </c>
      <c r="T182" s="10">
        <v>5.446476</v>
      </c>
      <c r="U182" s="26">
        <v>13.2887</v>
      </c>
      <c r="V182" s="26">
        <v>618.395</v>
      </c>
      <c r="W182" s="27">
        <f t="shared" si="2"/>
        <v>2.14890159202452</v>
      </c>
      <c r="X182" s="27">
        <v>160236</v>
      </c>
      <c r="Y182" s="10">
        <v>85365.6</v>
      </c>
      <c r="Z182" s="10">
        <v>560</v>
      </c>
      <c r="AA182" s="10">
        <v>25182</v>
      </c>
      <c r="AB182" s="10"/>
    </row>
    <row r="183" ht="21" spans="1:28">
      <c r="A183" s="10">
        <v>2016</v>
      </c>
      <c r="B183" s="10">
        <v>210000</v>
      </c>
      <c r="C183" s="24" t="s">
        <v>55</v>
      </c>
      <c r="D183" s="10">
        <v>24113.6</v>
      </c>
      <c r="E183" s="10">
        <v>3239.53</v>
      </c>
      <c r="F183" s="10">
        <v>17.627</v>
      </c>
      <c r="G183" s="10">
        <v>59.2988</v>
      </c>
      <c r="H183" s="10"/>
      <c r="I183" s="10">
        <v>11.8373</v>
      </c>
      <c r="J183" s="10">
        <v>1890.33</v>
      </c>
      <c r="K183" s="10">
        <v>512.71</v>
      </c>
      <c r="L183" s="10">
        <v>54.2</v>
      </c>
      <c r="M183" s="10">
        <v>5.8</v>
      </c>
      <c r="N183" s="10">
        <v>2125.12</v>
      </c>
      <c r="O183" s="10">
        <v>28.2037</v>
      </c>
      <c r="P183" s="10">
        <v>3529.83</v>
      </c>
      <c r="Q183" s="10">
        <v>4427.06</v>
      </c>
      <c r="R183" s="10">
        <v>747.53</v>
      </c>
      <c r="S183" s="25">
        <v>231.41</v>
      </c>
      <c r="T183" s="10">
        <v>8.683898</v>
      </c>
      <c r="U183" s="26">
        <v>12.5846</v>
      </c>
      <c r="V183" s="26">
        <v>560.389</v>
      </c>
      <c r="W183" s="27">
        <f t="shared" si="2"/>
        <v>2.24569004744918</v>
      </c>
      <c r="X183" s="27">
        <v>165851</v>
      </c>
      <c r="Y183" s="10">
        <v>87839</v>
      </c>
      <c r="Z183" s="10">
        <v>552</v>
      </c>
      <c r="AA183" s="10">
        <v>25104</v>
      </c>
      <c r="AB183" s="10"/>
    </row>
    <row r="184" ht="21" spans="1:28">
      <c r="A184" s="10">
        <v>2017</v>
      </c>
      <c r="B184" s="10">
        <v>210000</v>
      </c>
      <c r="C184" s="24" t="s">
        <v>55</v>
      </c>
      <c r="D184" s="10">
        <v>24957.7</v>
      </c>
      <c r="E184" s="10">
        <v>3118.77</v>
      </c>
      <c r="F184" s="10">
        <v>20.7697</v>
      </c>
      <c r="G184" s="10">
        <v>47.4958</v>
      </c>
      <c r="H184" s="10">
        <v>1131.27</v>
      </c>
      <c r="I184" s="10">
        <v>12.3272</v>
      </c>
      <c r="J184" s="10">
        <v>1990.15</v>
      </c>
      <c r="K184" s="10">
        <v>873.253</v>
      </c>
      <c r="L184" s="10">
        <v>54</v>
      </c>
      <c r="M184" s="10">
        <v>4.7</v>
      </c>
      <c r="N184" s="10">
        <v>2601.51</v>
      </c>
      <c r="O184" s="10">
        <v>32.4704</v>
      </c>
      <c r="P184" s="10">
        <v>3936.77</v>
      </c>
      <c r="Q184" s="10">
        <v>4755.68</v>
      </c>
      <c r="R184" s="10">
        <v>724.71</v>
      </c>
      <c r="S184" s="25">
        <v>267.18</v>
      </c>
      <c r="T184" s="10">
        <v>12.3482</v>
      </c>
      <c r="U184" s="26">
        <v>12.9036</v>
      </c>
      <c r="V184" s="26">
        <v>519.48</v>
      </c>
      <c r="W184" s="27">
        <f t="shared" si="2"/>
        <v>2.48394548394548</v>
      </c>
      <c r="X184" s="27">
        <v>174113</v>
      </c>
      <c r="Y184" s="10">
        <v>88858</v>
      </c>
      <c r="Z184" s="10">
        <v>581</v>
      </c>
      <c r="AA184" s="10">
        <v>26495</v>
      </c>
      <c r="AB184" s="10"/>
    </row>
    <row r="185" ht="21" spans="1:28">
      <c r="A185" s="10">
        <v>2018</v>
      </c>
      <c r="B185" s="10">
        <v>210000</v>
      </c>
      <c r="C185" s="24" t="s">
        <v>55</v>
      </c>
      <c r="D185" s="10">
        <v>21866</v>
      </c>
      <c r="E185" s="10">
        <v>3240.31</v>
      </c>
      <c r="F185" s="10">
        <v>21.9784</v>
      </c>
      <c r="G185" s="10">
        <v>64.7158</v>
      </c>
      <c r="H185" s="10">
        <v>1128.62</v>
      </c>
      <c r="I185" s="10">
        <v>11.398</v>
      </c>
      <c r="J185" s="10">
        <v>1509.57</v>
      </c>
      <c r="K185" s="10">
        <v>1774.96</v>
      </c>
      <c r="L185" s="10">
        <v>50</v>
      </c>
      <c r="M185" s="10">
        <v>4.95193</v>
      </c>
      <c r="N185" s="10">
        <v>3638.43</v>
      </c>
      <c r="O185" s="10">
        <v>34.5505</v>
      </c>
      <c r="P185" s="10">
        <v>3905.94</v>
      </c>
      <c r="Q185" s="10">
        <v>4880.74</v>
      </c>
      <c r="R185" s="10">
        <v>666.43</v>
      </c>
      <c r="S185" s="25">
        <v>290.95</v>
      </c>
      <c r="T185" s="10">
        <v>14.26262</v>
      </c>
      <c r="U185" s="26">
        <v>12.8051</v>
      </c>
      <c r="V185" s="26">
        <v>501.627</v>
      </c>
      <c r="W185" s="27">
        <f t="shared" si="2"/>
        <v>2.55271347036742</v>
      </c>
      <c r="X185" s="27">
        <v>177461</v>
      </c>
      <c r="Y185" s="10">
        <v>95317.4</v>
      </c>
      <c r="Z185" s="10">
        <v>592</v>
      </c>
      <c r="AA185" s="10">
        <v>35149</v>
      </c>
      <c r="AB185" s="10"/>
    </row>
    <row r="186" ht="21" spans="1:28">
      <c r="A186" s="10">
        <v>2019</v>
      </c>
      <c r="B186" s="10">
        <v>210000</v>
      </c>
      <c r="C186" s="24" t="s">
        <v>55</v>
      </c>
      <c r="D186" s="10">
        <v>23255.8</v>
      </c>
      <c r="E186" s="10">
        <v>3270.73</v>
      </c>
      <c r="F186" s="10">
        <v>28.2799</v>
      </c>
      <c r="G186" s="10">
        <v>96.1913</v>
      </c>
      <c r="H186" s="10">
        <v>1129.18</v>
      </c>
      <c r="I186" s="10">
        <v>9.903</v>
      </c>
      <c r="J186" s="10">
        <v>1759.98</v>
      </c>
      <c r="K186" s="10">
        <v>2723.21</v>
      </c>
      <c r="L186" s="10">
        <v>47.6</v>
      </c>
      <c r="M186" s="10">
        <v>5.5</v>
      </c>
      <c r="N186" s="10">
        <v>4112.04</v>
      </c>
      <c r="O186" s="10">
        <v>36.1418</v>
      </c>
      <c r="P186" s="10">
        <v>4062.3</v>
      </c>
      <c r="Q186" s="10">
        <v>4883.6</v>
      </c>
      <c r="R186" s="10">
        <v>615.86</v>
      </c>
      <c r="S186" s="25">
        <v>311.01</v>
      </c>
      <c r="T186" s="10">
        <v>18.28551</v>
      </c>
      <c r="U186" s="26">
        <v>13.6899</v>
      </c>
      <c r="V186" s="26">
        <v>499.897</v>
      </c>
      <c r="W186" s="27">
        <f t="shared" si="2"/>
        <v>2.73854414009286</v>
      </c>
      <c r="X186" s="27">
        <v>165262</v>
      </c>
      <c r="Y186" s="10">
        <v>99879.8</v>
      </c>
      <c r="Z186" s="10">
        <v>591</v>
      </c>
      <c r="AA186" s="10">
        <v>40037</v>
      </c>
      <c r="AB186" s="10"/>
    </row>
    <row r="187" ht="21" spans="1:28">
      <c r="A187" s="10">
        <v>2020</v>
      </c>
      <c r="B187" s="10">
        <v>210000</v>
      </c>
      <c r="C187" s="24" t="s">
        <v>55</v>
      </c>
      <c r="D187" s="10">
        <v>23141</v>
      </c>
      <c r="E187" s="10">
        <v>3305.2</v>
      </c>
      <c r="F187" s="10">
        <v>30.4</v>
      </c>
      <c r="G187" s="10">
        <v>79.5</v>
      </c>
      <c r="H187" s="10">
        <v>1134.4</v>
      </c>
      <c r="I187" s="10">
        <v>8.408</v>
      </c>
      <c r="J187" s="10">
        <v>1921.82</v>
      </c>
      <c r="K187" s="10">
        <v>3388.94</v>
      </c>
      <c r="L187" s="10">
        <v>45</v>
      </c>
      <c r="M187" s="10">
        <v>5.8</v>
      </c>
      <c r="N187" s="10">
        <v>4326</v>
      </c>
      <c r="O187" s="10">
        <v>38</v>
      </c>
      <c r="P187" s="10">
        <v>3921.8</v>
      </c>
      <c r="Q187" s="10">
        <v>4873.8</v>
      </c>
      <c r="R187" s="10">
        <v>575.88</v>
      </c>
      <c r="S187" s="25">
        <v>326.29</v>
      </c>
      <c r="T187" s="10">
        <v>27.44841</v>
      </c>
      <c r="U187" s="26">
        <v>13.9316</v>
      </c>
      <c r="V187" s="26">
        <v>476.783</v>
      </c>
      <c r="W187" s="27">
        <f t="shared" si="2"/>
        <v>2.92200015520688</v>
      </c>
      <c r="X187" s="27">
        <v>168423</v>
      </c>
      <c r="Y187" s="10">
        <v>111931</v>
      </c>
      <c r="Z187" s="10">
        <v>624</v>
      </c>
      <c r="AA187" s="10">
        <v>60185</v>
      </c>
      <c r="AB187" s="10"/>
    </row>
    <row r="188" ht="21" spans="1:28">
      <c r="A188" s="10">
        <v>2021</v>
      </c>
      <c r="B188" s="10">
        <v>210000</v>
      </c>
      <c r="C188" s="24" t="s">
        <v>55</v>
      </c>
      <c r="D188" s="10">
        <v>23525.2</v>
      </c>
      <c r="E188" s="10">
        <v>3273.95</v>
      </c>
      <c r="F188" s="10">
        <v>31.9906</v>
      </c>
      <c r="G188" s="10">
        <v>42.5146</v>
      </c>
      <c r="H188" s="10">
        <v>1129.76</v>
      </c>
      <c r="I188" s="10">
        <v>9.1094</v>
      </c>
      <c r="J188" s="10">
        <v>1838.93</v>
      </c>
      <c r="K188" s="10">
        <v>414.06</v>
      </c>
      <c r="L188" s="10">
        <v>44.1</v>
      </c>
      <c r="M188" s="10">
        <v>5.9</v>
      </c>
      <c r="N188" s="10">
        <v>4785.7</v>
      </c>
      <c r="O188" s="10">
        <v>39.6257</v>
      </c>
      <c r="P188" s="10">
        <v>3994.08</v>
      </c>
      <c r="Q188" s="10">
        <v>4975.22</v>
      </c>
      <c r="R188" s="10">
        <v>530.05</v>
      </c>
      <c r="S188" s="25">
        <v>342.2</v>
      </c>
      <c r="T188" s="10">
        <v>27.7254</v>
      </c>
      <c r="U188" s="26">
        <v>13.9251</v>
      </c>
      <c r="V188" s="26">
        <v>457.997</v>
      </c>
      <c r="W188" s="27">
        <f t="shared" si="2"/>
        <v>3.04043476267312</v>
      </c>
      <c r="X188" s="27">
        <v>166638</v>
      </c>
      <c r="Y188" s="10">
        <v>116505</v>
      </c>
      <c r="Z188" s="10">
        <v>611</v>
      </c>
      <c r="AA188" s="10">
        <v>80191</v>
      </c>
      <c r="AB188" s="10"/>
    </row>
    <row r="189" ht="21" spans="1:28">
      <c r="A189" s="10">
        <v>2022</v>
      </c>
      <c r="B189" s="10">
        <v>210000</v>
      </c>
      <c r="C189" s="24" t="s">
        <v>55</v>
      </c>
      <c r="D189" s="10">
        <v>24027.1</v>
      </c>
      <c r="E189" s="10">
        <v>3444.31</v>
      </c>
      <c r="F189" s="10">
        <v>33.7575</v>
      </c>
      <c r="G189" s="10">
        <v>37.66</v>
      </c>
      <c r="H189" s="10">
        <v>1142.95</v>
      </c>
      <c r="I189" s="10">
        <v>8.4627</v>
      </c>
      <c r="J189" s="10">
        <v>2070.39</v>
      </c>
      <c r="K189" s="10">
        <v>405.306</v>
      </c>
      <c r="L189" s="10">
        <v>36.7</v>
      </c>
      <c r="M189" s="10">
        <v>6.39837</v>
      </c>
      <c r="N189" s="10">
        <v>6702.39</v>
      </c>
      <c r="O189" s="10">
        <v>41.0981</v>
      </c>
      <c r="P189" s="10">
        <v>4462.64</v>
      </c>
      <c r="Q189" s="10">
        <v>5100.86</v>
      </c>
      <c r="R189" s="10">
        <v>483.471</v>
      </c>
      <c r="S189" s="25">
        <v>358.26</v>
      </c>
      <c r="T189" s="10">
        <v>28.27177</v>
      </c>
      <c r="U189" s="26">
        <v>13.8008</v>
      </c>
      <c r="V189" s="26">
        <v>443.702</v>
      </c>
      <c r="W189" s="27">
        <f t="shared" si="2"/>
        <v>3.11037588291241</v>
      </c>
      <c r="X189" s="27">
        <v>177447</v>
      </c>
      <c r="Y189" s="10">
        <v>124163</v>
      </c>
      <c r="Z189" s="10">
        <v>735</v>
      </c>
      <c r="AA189" s="10">
        <v>77434</v>
      </c>
      <c r="AB189" s="10"/>
    </row>
    <row r="190" ht="21" spans="1:28">
      <c r="A190" s="10">
        <v>2023</v>
      </c>
      <c r="B190" s="10">
        <v>210000</v>
      </c>
      <c r="C190" s="24" t="s">
        <v>55</v>
      </c>
      <c r="D190" s="10">
        <v>23036</v>
      </c>
      <c r="E190" s="10">
        <v>3720.7</v>
      </c>
      <c r="F190" s="10">
        <v>36.3</v>
      </c>
      <c r="G190" s="10">
        <v>36.3</v>
      </c>
      <c r="H190" s="10">
        <v>1128.89</v>
      </c>
      <c r="I190" s="10">
        <v>8.2719</v>
      </c>
      <c r="J190" s="10">
        <v>2334.7</v>
      </c>
      <c r="K190" s="10">
        <v>420.19</v>
      </c>
      <c r="L190" s="10">
        <v>34.3829</v>
      </c>
      <c r="M190" s="10">
        <v>8.648</v>
      </c>
      <c r="N190" s="10">
        <v>7841.31</v>
      </c>
      <c r="O190" s="10">
        <v>40.1337</v>
      </c>
      <c r="P190" s="10">
        <v>4475.9</v>
      </c>
      <c r="Q190" s="10">
        <v>5254</v>
      </c>
      <c r="R190" s="10"/>
      <c r="S190" s="25">
        <v>375.07</v>
      </c>
      <c r="T190" s="10">
        <v>31.83224</v>
      </c>
      <c r="U190" s="26">
        <v>14.4895</v>
      </c>
      <c r="V190" s="26">
        <v>424.459</v>
      </c>
      <c r="W190" s="27">
        <f t="shared" si="2"/>
        <v>3.41363947990265</v>
      </c>
      <c r="X190" s="27">
        <v>182395</v>
      </c>
      <c r="Y190" s="10">
        <v>131346</v>
      </c>
      <c r="Z190" s="10">
        <v>669</v>
      </c>
      <c r="AA190" s="10">
        <v>67632</v>
      </c>
      <c r="AB190" s="10"/>
    </row>
    <row r="191" ht="41" spans="1:28">
      <c r="A191" s="10">
        <v>2013</v>
      </c>
      <c r="B191" s="10">
        <v>150000</v>
      </c>
      <c r="C191" s="24" t="s">
        <v>56</v>
      </c>
      <c r="D191" s="10">
        <v>57760</v>
      </c>
      <c r="E191" s="10">
        <v>677.2</v>
      </c>
      <c r="F191" s="10">
        <v>4.9436</v>
      </c>
      <c r="G191" s="10">
        <v>4.5576</v>
      </c>
      <c r="H191" s="10">
        <v>241.357</v>
      </c>
      <c r="I191" s="10">
        <v>1.2289</v>
      </c>
      <c r="J191" s="10">
        <v>27.8411</v>
      </c>
      <c r="K191" s="10">
        <v>293.71</v>
      </c>
      <c r="L191" s="10">
        <v>46.4795</v>
      </c>
      <c r="M191" s="10">
        <v>1.96379</v>
      </c>
      <c r="N191" s="10">
        <v>212.729</v>
      </c>
      <c r="O191" s="10">
        <v>17.2156</v>
      </c>
      <c r="P191" s="10"/>
      <c r="Q191" s="10">
        <v>2690.6</v>
      </c>
      <c r="R191" s="10">
        <v>240.98</v>
      </c>
      <c r="S191" s="25">
        <v>146.59</v>
      </c>
      <c r="T191" s="10">
        <v>0.250353</v>
      </c>
      <c r="U191" s="26">
        <v>5.8542</v>
      </c>
      <c r="V191" s="26">
        <v>303.839</v>
      </c>
      <c r="W191" s="27">
        <f t="shared" si="2"/>
        <v>1.9267440980256</v>
      </c>
      <c r="X191" s="27">
        <v>50275</v>
      </c>
      <c r="Y191" s="10">
        <v>37279.8</v>
      </c>
      <c r="Z191" s="10">
        <v>240</v>
      </c>
      <c r="AA191" s="10">
        <v>3836</v>
      </c>
      <c r="AB191" s="10"/>
    </row>
    <row r="192" ht="41" spans="1:28">
      <c r="A192" s="10">
        <v>2014</v>
      </c>
      <c r="B192" s="10">
        <v>150000</v>
      </c>
      <c r="C192" s="24" t="s">
        <v>56</v>
      </c>
      <c r="D192" s="10">
        <v>66744.3</v>
      </c>
      <c r="E192" s="10">
        <v>739.91</v>
      </c>
      <c r="F192" s="10">
        <v>6.7</v>
      </c>
      <c r="G192" s="10">
        <v>6.3131</v>
      </c>
      <c r="H192" s="10">
        <v>262.271</v>
      </c>
      <c r="I192" s="10">
        <v>1.2036</v>
      </c>
      <c r="J192" s="10">
        <v>29.4602</v>
      </c>
      <c r="K192" s="10">
        <v>316.57</v>
      </c>
      <c r="L192" s="10">
        <v>50.1349</v>
      </c>
      <c r="M192" s="10">
        <v>3.35492</v>
      </c>
      <c r="N192" s="10">
        <v>391.983</v>
      </c>
      <c r="O192" s="10">
        <v>20.2983</v>
      </c>
      <c r="P192" s="10">
        <v>1672.43</v>
      </c>
      <c r="Q192" s="10">
        <v>2634.61</v>
      </c>
      <c r="R192" s="10">
        <v>271.67</v>
      </c>
      <c r="S192" s="25">
        <v>172.56</v>
      </c>
      <c r="T192" s="10">
        <v>0.2883383</v>
      </c>
      <c r="U192" s="26">
        <v>5.0222</v>
      </c>
      <c r="V192" s="26">
        <v>301.452</v>
      </c>
      <c r="W192" s="27">
        <f t="shared" si="2"/>
        <v>1.66600321112482</v>
      </c>
      <c r="X192" s="27">
        <v>53455</v>
      </c>
      <c r="Y192" s="10">
        <v>36435</v>
      </c>
      <c r="Z192" s="10">
        <v>235</v>
      </c>
      <c r="AA192" s="10">
        <v>4031</v>
      </c>
      <c r="AB192" s="10"/>
    </row>
    <row r="193" ht="41" spans="1:28">
      <c r="A193" s="10">
        <v>2015</v>
      </c>
      <c r="B193" s="10">
        <v>150000</v>
      </c>
      <c r="C193" s="24" t="s">
        <v>56</v>
      </c>
      <c r="D193" s="10">
        <v>71490</v>
      </c>
      <c r="E193" s="10">
        <v>915.95</v>
      </c>
      <c r="F193" s="10">
        <v>9.3677</v>
      </c>
      <c r="G193" s="10">
        <v>8.7</v>
      </c>
      <c r="H193" s="10"/>
      <c r="I193" s="10">
        <v>1.4</v>
      </c>
      <c r="J193" s="10">
        <v>30.098</v>
      </c>
      <c r="K193" s="10">
        <v>377.07</v>
      </c>
      <c r="L193" s="10">
        <v>49</v>
      </c>
      <c r="M193" s="10">
        <v>5.5</v>
      </c>
      <c r="N193" s="10">
        <v>1340.12</v>
      </c>
      <c r="O193" s="10">
        <v>22.3123</v>
      </c>
      <c r="P193" s="10">
        <v>1865.03</v>
      </c>
      <c r="Q193" s="10">
        <v>2377.07</v>
      </c>
      <c r="R193" s="10">
        <v>306.457</v>
      </c>
      <c r="S193" s="25">
        <v>214.55</v>
      </c>
      <c r="T193" s="10">
        <v>0.4273961</v>
      </c>
      <c r="U193" s="26">
        <v>5.024</v>
      </c>
      <c r="V193" s="26">
        <v>298.266</v>
      </c>
      <c r="W193" s="27">
        <f t="shared" si="2"/>
        <v>1.68440251319292</v>
      </c>
      <c r="X193" s="27">
        <v>54471</v>
      </c>
      <c r="Y193" s="10">
        <v>38247.7</v>
      </c>
      <c r="Z193" s="10">
        <v>238</v>
      </c>
      <c r="AA193" s="10">
        <v>5522</v>
      </c>
      <c r="AB193" s="10"/>
    </row>
    <row r="194" ht="41" spans="1:28">
      <c r="A194" s="10">
        <v>2016</v>
      </c>
      <c r="B194" s="10">
        <v>150000</v>
      </c>
      <c r="C194" s="24" t="s">
        <v>56</v>
      </c>
      <c r="D194" s="10">
        <v>77483</v>
      </c>
      <c r="E194" s="10">
        <v>1200.73</v>
      </c>
      <c r="F194" s="10">
        <v>11.6251</v>
      </c>
      <c r="G194" s="10">
        <v>10.7501</v>
      </c>
      <c r="H194" s="10"/>
      <c r="I194" s="10">
        <v>1.5534</v>
      </c>
      <c r="J194" s="10">
        <v>27.9597</v>
      </c>
      <c r="K194" s="10">
        <v>249.64</v>
      </c>
      <c r="L194" s="10">
        <v>50.1</v>
      </c>
      <c r="M194" s="10">
        <v>7.6</v>
      </c>
      <c r="N194" s="10">
        <v>1587.57</v>
      </c>
      <c r="O194" s="10">
        <v>24.6907</v>
      </c>
      <c r="P194" s="10">
        <v>2045.16</v>
      </c>
      <c r="Q194" s="10">
        <v>2470.78</v>
      </c>
      <c r="R194" s="10">
        <v>301.36</v>
      </c>
      <c r="S194" s="25">
        <v>229.93</v>
      </c>
      <c r="T194" s="10">
        <v>1.149979</v>
      </c>
      <c r="U194" s="26">
        <v>4.8486</v>
      </c>
      <c r="V194" s="26">
        <v>293.242</v>
      </c>
      <c r="W194" s="27">
        <f t="shared" si="2"/>
        <v>1.6534466413406</v>
      </c>
      <c r="X194" s="27">
        <v>55088</v>
      </c>
      <c r="Y194" s="10">
        <v>39480.4</v>
      </c>
      <c r="Z194" s="10">
        <v>278</v>
      </c>
      <c r="AA194" s="10">
        <v>5846</v>
      </c>
      <c r="AB194" s="10"/>
    </row>
    <row r="195" ht="41" spans="1:28">
      <c r="A195" s="10">
        <v>2017</v>
      </c>
      <c r="B195" s="10">
        <v>150000</v>
      </c>
      <c r="C195" s="24" t="s">
        <v>56</v>
      </c>
      <c r="D195" s="10">
        <v>77864.6</v>
      </c>
      <c r="E195" s="10">
        <v>1294.08</v>
      </c>
      <c r="F195" s="10">
        <v>12.3058</v>
      </c>
      <c r="G195" s="10">
        <v>9.9292</v>
      </c>
      <c r="H195" s="10">
        <v>264.19</v>
      </c>
      <c r="I195" s="10">
        <v>1.7262</v>
      </c>
      <c r="J195" s="10">
        <v>15.728</v>
      </c>
      <c r="K195" s="10">
        <v>491.172</v>
      </c>
      <c r="L195" s="10">
        <v>51</v>
      </c>
      <c r="M195" s="10">
        <v>6.5</v>
      </c>
      <c r="N195" s="10">
        <v>1725.5</v>
      </c>
      <c r="O195" s="10">
        <v>28.1216</v>
      </c>
      <c r="P195" s="10">
        <v>2360.27</v>
      </c>
      <c r="Q195" s="10">
        <v>2841.18</v>
      </c>
      <c r="R195" s="10">
        <v>238.21</v>
      </c>
      <c r="S195" s="25">
        <v>258.5</v>
      </c>
      <c r="T195" s="10">
        <v>1.625963</v>
      </c>
      <c r="U195" s="26">
        <v>4.8245</v>
      </c>
      <c r="V195" s="26">
        <v>280.631</v>
      </c>
      <c r="W195" s="27">
        <f t="shared" si="2"/>
        <v>1.7191614611358</v>
      </c>
      <c r="X195" s="27">
        <v>57501</v>
      </c>
      <c r="Y195" s="10">
        <v>33030</v>
      </c>
      <c r="Z195" s="10">
        <v>224</v>
      </c>
      <c r="AA195" s="10">
        <v>6271</v>
      </c>
      <c r="AB195" s="10"/>
    </row>
    <row r="196" ht="41" spans="1:28">
      <c r="A196" s="10">
        <v>2018</v>
      </c>
      <c r="B196" s="10">
        <v>150000</v>
      </c>
      <c r="C196" s="24" t="s">
        <v>56</v>
      </c>
      <c r="D196" s="10">
        <v>75109.3</v>
      </c>
      <c r="E196" s="10">
        <v>1358.38</v>
      </c>
      <c r="F196" s="10">
        <v>14.2088</v>
      </c>
      <c r="G196" s="10">
        <v>12.2409</v>
      </c>
      <c r="H196" s="10">
        <v>264.361</v>
      </c>
      <c r="I196" s="10">
        <v>1.6003</v>
      </c>
      <c r="J196" s="10">
        <v>11.6699</v>
      </c>
      <c r="K196" s="10">
        <v>1270.77</v>
      </c>
      <c r="L196" s="10">
        <v>44</v>
      </c>
      <c r="M196" s="10">
        <v>6.12858</v>
      </c>
      <c r="N196" s="10">
        <v>1948.59</v>
      </c>
      <c r="O196" s="10">
        <v>30.9519</v>
      </c>
      <c r="P196" s="10">
        <v>2508.06</v>
      </c>
      <c r="Q196" s="10">
        <v>3044.44</v>
      </c>
      <c r="R196" s="10">
        <v>216.09</v>
      </c>
      <c r="S196" s="25">
        <v>271.57</v>
      </c>
      <c r="T196" s="10">
        <v>2.238109</v>
      </c>
      <c r="U196" s="26">
        <v>4.8823</v>
      </c>
      <c r="V196" s="26">
        <v>272.43</v>
      </c>
      <c r="W196" s="27">
        <f t="shared" ref="W196:W259" si="3">(U196/V196)*100</f>
        <v>1.79213008846309</v>
      </c>
      <c r="X196" s="27">
        <v>58014</v>
      </c>
      <c r="Y196" s="10">
        <v>24906</v>
      </c>
      <c r="Z196" s="10">
        <v>159</v>
      </c>
      <c r="AA196" s="10">
        <v>9625</v>
      </c>
      <c r="AB196" s="10"/>
    </row>
    <row r="197" ht="41" spans="1:28">
      <c r="A197" s="10">
        <v>2019</v>
      </c>
      <c r="B197" s="10">
        <v>150000</v>
      </c>
      <c r="C197" s="24" t="s">
        <v>56</v>
      </c>
      <c r="D197" s="10">
        <v>76428.9</v>
      </c>
      <c r="E197" s="10">
        <v>1372.73</v>
      </c>
      <c r="F197" s="10">
        <v>17.4512</v>
      </c>
      <c r="G197" s="10">
        <v>27.9128</v>
      </c>
      <c r="H197" s="10">
        <v>261.102</v>
      </c>
      <c r="I197" s="10">
        <v>1.90685</v>
      </c>
      <c r="J197" s="10">
        <v>6.26369</v>
      </c>
      <c r="K197" s="10">
        <v>2075.81</v>
      </c>
      <c r="L197" s="10">
        <v>37.9</v>
      </c>
      <c r="M197" s="10">
        <v>6</v>
      </c>
      <c r="N197" s="10">
        <v>2568.14</v>
      </c>
      <c r="O197" s="10">
        <v>32.9318</v>
      </c>
      <c r="P197" s="10">
        <v>2606.15</v>
      </c>
      <c r="Q197" s="10">
        <v>3011.66</v>
      </c>
      <c r="R197" s="10">
        <v>213.4</v>
      </c>
      <c r="S197" s="25">
        <v>293.89</v>
      </c>
      <c r="T197" s="10">
        <v>3.324009</v>
      </c>
      <c r="U197" s="26">
        <v>4.6988</v>
      </c>
      <c r="V197" s="26">
        <v>280.905</v>
      </c>
      <c r="W197" s="27">
        <f t="shared" si="3"/>
        <v>1.67273633434791</v>
      </c>
      <c r="X197" s="27">
        <v>60353</v>
      </c>
      <c r="Y197" s="10">
        <v>24896.5</v>
      </c>
      <c r="Z197" s="10">
        <v>143</v>
      </c>
      <c r="AA197" s="10">
        <v>11059</v>
      </c>
      <c r="AB197" s="10"/>
    </row>
    <row r="198" ht="41" spans="1:28">
      <c r="A198" s="10">
        <v>2020</v>
      </c>
      <c r="B198" s="10">
        <v>150000</v>
      </c>
      <c r="C198" s="24" t="s">
        <v>56</v>
      </c>
      <c r="D198" s="10">
        <v>70781</v>
      </c>
      <c r="E198" s="10">
        <v>1441.3</v>
      </c>
      <c r="F198" s="10">
        <v>18.6</v>
      </c>
      <c r="G198" s="10">
        <v>19.5</v>
      </c>
      <c r="H198" s="10">
        <v>262.3</v>
      </c>
      <c r="I198" s="10">
        <v>2.2134</v>
      </c>
      <c r="J198" s="10">
        <v>14.44</v>
      </c>
      <c r="K198" s="10">
        <v>2584.73</v>
      </c>
      <c r="L198" s="10">
        <v>38</v>
      </c>
      <c r="M198" s="10">
        <v>6.9</v>
      </c>
      <c r="N198" s="10">
        <v>2799.9</v>
      </c>
      <c r="O198" s="10">
        <v>35</v>
      </c>
      <c r="P198" s="10">
        <v>2574.3</v>
      </c>
      <c r="Q198" s="10">
        <v>2962.2</v>
      </c>
      <c r="R198" s="10">
        <v>207.02</v>
      </c>
      <c r="S198" s="25">
        <v>309.39</v>
      </c>
      <c r="T198" s="10">
        <v>6.797284</v>
      </c>
      <c r="U198" s="26">
        <v>4.5772</v>
      </c>
      <c r="V198" s="26">
        <v>270.555</v>
      </c>
      <c r="W198" s="27">
        <f t="shared" si="3"/>
        <v>1.69178170797065</v>
      </c>
      <c r="X198" s="27">
        <v>64977</v>
      </c>
      <c r="Y198" s="10">
        <v>27913.7</v>
      </c>
      <c r="Z198" s="10">
        <v>166</v>
      </c>
      <c r="AA198" s="10">
        <v>17958</v>
      </c>
      <c r="AB198" s="10"/>
    </row>
    <row r="199" ht="41" spans="1:28">
      <c r="A199" s="10">
        <v>2021</v>
      </c>
      <c r="B199" s="10">
        <v>150000</v>
      </c>
      <c r="C199" s="24" t="s">
        <v>56</v>
      </c>
      <c r="D199" s="10">
        <v>68050.5</v>
      </c>
      <c r="E199" s="10">
        <v>1750.12</v>
      </c>
      <c r="F199" s="10">
        <v>19.2561</v>
      </c>
      <c r="G199" s="10">
        <v>12.4015</v>
      </c>
      <c r="H199" s="10">
        <v>262.656</v>
      </c>
      <c r="I199" s="10">
        <v>2.6231</v>
      </c>
      <c r="J199" s="10">
        <v>277.838</v>
      </c>
      <c r="K199" s="10">
        <v>296.92</v>
      </c>
      <c r="L199" s="10">
        <v>37</v>
      </c>
      <c r="M199" s="10">
        <v>7.5</v>
      </c>
      <c r="N199" s="10">
        <v>3145.51</v>
      </c>
      <c r="O199" s="10">
        <v>36.2074</v>
      </c>
      <c r="P199" s="10">
        <v>2665.19</v>
      </c>
      <c r="Q199" s="10">
        <v>3016.92</v>
      </c>
      <c r="R199" s="10">
        <v>216.91</v>
      </c>
      <c r="S199" s="25">
        <v>325.38</v>
      </c>
      <c r="T199" s="10">
        <v>6.882752</v>
      </c>
      <c r="U199" s="26">
        <v>4.6021</v>
      </c>
      <c r="V199" s="26">
        <v>267.688</v>
      </c>
      <c r="W199" s="27">
        <f t="shared" si="3"/>
        <v>1.71920295269119</v>
      </c>
      <c r="X199" s="27">
        <v>65721</v>
      </c>
      <c r="Y199" s="10">
        <v>26426.7</v>
      </c>
      <c r="Z199" s="10">
        <v>182</v>
      </c>
      <c r="AA199" s="10">
        <v>24362</v>
      </c>
      <c r="AB199" s="10"/>
    </row>
    <row r="200" ht="41" spans="1:28">
      <c r="A200" s="10">
        <v>2022</v>
      </c>
      <c r="B200" s="10">
        <v>150000</v>
      </c>
      <c r="C200" s="24" t="s">
        <v>56</v>
      </c>
      <c r="D200" s="10">
        <v>71988.2</v>
      </c>
      <c r="E200" s="10">
        <v>1738.96</v>
      </c>
      <c r="F200" s="10">
        <v>21.5022</v>
      </c>
      <c r="G200" s="10">
        <v>16.3653</v>
      </c>
      <c r="H200" s="10">
        <v>264.285</v>
      </c>
      <c r="I200" s="10">
        <v>2.4977</v>
      </c>
      <c r="J200" s="10">
        <v>8.11504</v>
      </c>
      <c r="K200" s="10">
        <v>295.529</v>
      </c>
      <c r="L200" s="10">
        <v>31.1</v>
      </c>
      <c r="M200" s="10">
        <v>8.01009</v>
      </c>
      <c r="N200" s="29">
        <v>4466.62</v>
      </c>
      <c r="O200" s="29">
        <v>37.9693</v>
      </c>
      <c r="P200" s="29">
        <v>2577.01</v>
      </c>
      <c r="Q200" s="29">
        <v>3013.12</v>
      </c>
      <c r="R200" s="29">
        <v>267.081</v>
      </c>
      <c r="S200" s="25">
        <v>342.28</v>
      </c>
      <c r="T200" s="29">
        <v>7.094558</v>
      </c>
      <c r="U200" s="26">
        <v>4.5154</v>
      </c>
      <c r="V200" s="26">
        <v>265.524</v>
      </c>
      <c r="W200" s="27">
        <f t="shared" si="3"/>
        <v>1.70056190777481</v>
      </c>
      <c r="X200" s="30">
        <v>70626</v>
      </c>
      <c r="Y200" s="29">
        <v>37723.5</v>
      </c>
      <c r="Z200" s="29">
        <v>297</v>
      </c>
      <c r="AA200" s="29">
        <v>24640</v>
      </c>
      <c r="AB200" s="29"/>
    </row>
    <row r="201" ht="41" spans="1:28">
      <c r="A201" s="10">
        <v>2023</v>
      </c>
      <c r="B201" s="10">
        <v>150000</v>
      </c>
      <c r="C201" s="24" t="s">
        <v>56</v>
      </c>
      <c r="D201" s="10">
        <v>75252</v>
      </c>
      <c r="E201" s="10">
        <v>1792.7</v>
      </c>
      <c r="F201" s="10">
        <v>24</v>
      </c>
      <c r="G201" s="10">
        <v>12.2</v>
      </c>
      <c r="H201" s="10">
        <v>264.209</v>
      </c>
      <c r="I201" s="10">
        <v>2.4208</v>
      </c>
      <c r="J201" s="10">
        <v>9.42</v>
      </c>
      <c r="K201" s="10">
        <v>333.59</v>
      </c>
      <c r="L201" s="10">
        <v>27.99</v>
      </c>
      <c r="M201" s="10">
        <v>11.1477</v>
      </c>
      <c r="N201" s="29">
        <v>5316.72</v>
      </c>
      <c r="O201" s="29">
        <v>37.667</v>
      </c>
      <c r="P201" s="29">
        <v>2661.5</v>
      </c>
      <c r="Q201" s="29">
        <v>3052.1</v>
      </c>
      <c r="R201" s="29"/>
      <c r="S201" s="25">
        <v>359.29</v>
      </c>
      <c r="T201" s="29">
        <v>10.59191</v>
      </c>
      <c r="U201" s="26">
        <v>4.4329</v>
      </c>
      <c r="V201" s="26">
        <v>268.653</v>
      </c>
      <c r="W201" s="27">
        <f t="shared" si="3"/>
        <v>1.65004671453511</v>
      </c>
      <c r="X201" s="30">
        <v>74608</v>
      </c>
      <c r="Y201" s="29">
        <v>40446</v>
      </c>
      <c r="Z201" s="29">
        <v>298</v>
      </c>
      <c r="AA201" s="29">
        <v>22258</v>
      </c>
      <c r="AB201" s="29"/>
    </row>
    <row r="202" ht="41" spans="1:28">
      <c r="A202" s="10">
        <v>2013</v>
      </c>
      <c r="B202" s="10">
        <v>640000</v>
      </c>
      <c r="C202" s="24" t="s">
        <v>57</v>
      </c>
      <c r="D202" s="10">
        <v>9708</v>
      </c>
      <c r="E202" s="10">
        <v>150.3</v>
      </c>
      <c r="F202" s="10">
        <v>1.1757</v>
      </c>
      <c r="G202" s="10">
        <v>1.6049</v>
      </c>
      <c r="H202" s="10">
        <v>72.192</v>
      </c>
      <c r="I202" s="10">
        <v>0.384</v>
      </c>
      <c r="J202" s="10">
        <v>7.93152</v>
      </c>
      <c r="K202" s="10">
        <v>75.7148</v>
      </c>
      <c r="L202" s="10">
        <v>55.4685</v>
      </c>
      <c r="M202" s="10">
        <v>3.7138</v>
      </c>
      <c r="N202" s="29">
        <v>86.2948</v>
      </c>
      <c r="O202" s="29">
        <v>19.524</v>
      </c>
      <c r="P202" s="29"/>
      <c r="Q202" s="29">
        <v>627.2</v>
      </c>
      <c r="R202" s="29">
        <v>89.8</v>
      </c>
      <c r="S202" s="25">
        <v>136.74</v>
      </c>
      <c r="T202" s="29">
        <v>0.3208387</v>
      </c>
      <c r="U202" s="26">
        <v>0.8267</v>
      </c>
      <c r="V202" s="26">
        <v>72.1759</v>
      </c>
      <c r="W202" s="27">
        <f t="shared" si="3"/>
        <v>1.1453961779486</v>
      </c>
      <c r="X202" s="30">
        <v>12574</v>
      </c>
      <c r="Y202" s="29">
        <v>8234.4</v>
      </c>
      <c r="Z202" s="29">
        <v>159</v>
      </c>
      <c r="AA202" s="29">
        <v>1211</v>
      </c>
      <c r="AB202" s="29"/>
    </row>
    <row r="203" ht="41" spans="1:28">
      <c r="A203" s="10">
        <v>2014</v>
      </c>
      <c r="B203" s="10">
        <v>640000</v>
      </c>
      <c r="C203" s="24" t="s">
        <v>57</v>
      </c>
      <c r="D203" s="10">
        <v>9599.59</v>
      </c>
      <c r="E203" s="10">
        <v>180.31</v>
      </c>
      <c r="F203" s="10">
        <v>1.7</v>
      </c>
      <c r="G203" s="10">
        <v>2.2989</v>
      </c>
      <c r="H203" s="10">
        <v>79.6772</v>
      </c>
      <c r="I203" s="10">
        <v>0.3665</v>
      </c>
      <c r="J203" s="10">
        <v>9.4388</v>
      </c>
      <c r="K203" s="10">
        <v>91.89</v>
      </c>
      <c r="L203" s="10">
        <v>56.4843</v>
      </c>
      <c r="M203" s="10">
        <v>6.82237</v>
      </c>
      <c r="N203" s="29">
        <v>127.761</v>
      </c>
      <c r="O203" s="29">
        <v>21.5178</v>
      </c>
      <c r="P203" s="29">
        <v>481.8</v>
      </c>
      <c r="Q203" s="29">
        <v>688.27</v>
      </c>
      <c r="R203" s="29">
        <v>96.3721</v>
      </c>
      <c r="S203" s="25">
        <v>165.26</v>
      </c>
      <c r="T203" s="29">
        <v>0.1813277</v>
      </c>
      <c r="U203" s="26">
        <v>0.8431</v>
      </c>
      <c r="V203" s="26">
        <v>73.249</v>
      </c>
      <c r="W203" s="27">
        <f t="shared" si="3"/>
        <v>1.15100547447747</v>
      </c>
      <c r="X203" s="30">
        <v>13282</v>
      </c>
      <c r="Y203" s="29">
        <v>9500</v>
      </c>
      <c r="Z203" s="29">
        <v>160</v>
      </c>
      <c r="AA203" s="29">
        <v>1424</v>
      </c>
      <c r="AB203" s="29"/>
    </row>
    <row r="204" ht="41" spans="1:28">
      <c r="A204" s="10">
        <v>2015</v>
      </c>
      <c r="B204" s="10">
        <v>640000</v>
      </c>
      <c r="C204" s="24" t="s">
        <v>57</v>
      </c>
      <c r="D204" s="10">
        <v>10848</v>
      </c>
      <c r="E204" s="10">
        <v>200.76</v>
      </c>
      <c r="F204" s="10">
        <v>2.5057</v>
      </c>
      <c r="G204" s="10">
        <v>3.8</v>
      </c>
      <c r="H204" s="10"/>
      <c r="I204" s="10">
        <v>0.5</v>
      </c>
      <c r="J204" s="10">
        <v>11.4051</v>
      </c>
      <c r="K204" s="10">
        <v>123.23</v>
      </c>
      <c r="L204" s="10">
        <v>55</v>
      </c>
      <c r="M204" s="10">
        <v>9.9</v>
      </c>
      <c r="N204" s="29">
        <v>111.723</v>
      </c>
      <c r="O204" s="29">
        <v>25.667</v>
      </c>
      <c r="P204" s="29">
        <v>534.88</v>
      </c>
      <c r="Q204" s="29">
        <v>636.63</v>
      </c>
      <c r="R204" s="29">
        <v>72.0125</v>
      </c>
      <c r="S204" s="25">
        <v>214.7</v>
      </c>
      <c r="T204" s="29">
        <v>0.2681126</v>
      </c>
      <c r="U204" s="26">
        <v>0.8023</v>
      </c>
      <c r="V204" s="26">
        <v>73.1228</v>
      </c>
      <c r="W204" s="27">
        <f t="shared" si="3"/>
        <v>1.09719540280186</v>
      </c>
      <c r="X204" s="30">
        <v>15487</v>
      </c>
      <c r="Y204" s="29">
        <v>9246.6</v>
      </c>
      <c r="Z204" s="29">
        <v>160</v>
      </c>
      <c r="AA204" s="29">
        <v>1865</v>
      </c>
      <c r="AB204" s="29"/>
    </row>
    <row r="205" ht="41" spans="1:28">
      <c r="A205" s="10">
        <v>2016</v>
      </c>
      <c r="B205" s="10">
        <v>640000</v>
      </c>
      <c r="C205" s="24" t="s">
        <v>57</v>
      </c>
      <c r="D205" s="10">
        <v>10910</v>
      </c>
      <c r="E205" s="10">
        <v>307.112</v>
      </c>
      <c r="F205" s="10">
        <v>3.0042</v>
      </c>
      <c r="G205" s="10">
        <v>4.2549</v>
      </c>
      <c r="H205" s="10"/>
      <c r="I205" s="10">
        <v>0.5983</v>
      </c>
      <c r="J205" s="10">
        <v>13.2037</v>
      </c>
      <c r="K205" s="10">
        <v>94.73</v>
      </c>
      <c r="L205" s="10">
        <v>53.2</v>
      </c>
      <c r="M205" s="10">
        <v>11.2</v>
      </c>
      <c r="N205" s="29">
        <v>169.225</v>
      </c>
      <c r="O205" s="29">
        <v>28.4571</v>
      </c>
      <c r="P205" s="29">
        <v>602.14</v>
      </c>
      <c r="Q205" s="29">
        <v>716.43</v>
      </c>
      <c r="R205" s="29">
        <v>104.71</v>
      </c>
      <c r="S205" s="25">
        <v>212.36</v>
      </c>
      <c r="T205" s="29">
        <v>0.9648865</v>
      </c>
      <c r="U205" s="26">
        <v>0.7782</v>
      </c>
      <c r="V205" s="26">
        <v>70.6946</v>
      </c>
      <c r="W205" s="27">
        <f t="shared" si="3"/>
        <v>1.10079129098969</v>
      </c>
      <c r="X205" s="30">
        <v>16845</v>
      </c>
      <c r="Y205" s="29">
        <v>9004.1</v>
      </c>
      <c r="Z205" s="29">
        <v>181</v>
      </c>
      <c r="AA205" s="29">
        <v>2677</v>
      </c>
      <c r="AB205" s="29"/>
    </row>
    <row r="206" ht="41" spans="1:28">
      <c r="A206" s="10">
        <v>2017</v>
      </c>
      <c r="B206" s="10">
        <v>640000</v>
      </c>
      <c r="C206" s="24" t="s">
        <v>57</v>
      </c>
      <c r="D206" s="10">
        <v>10954</v>
      </c>
      <c r="E206" s="10">
        <v>415.045</v>
      </c>
      <c r="F206" s="10">
        <v>3.2361</v>
      </c>
      <c r="G206" s="10">
        <v>3.2747</v>
      </c>
      <c r="H206" s="10">
        <v>94.8373</v>
      </c>
      <c r="I206" s="10">
        <v>0.7105</v>
      </c>
      <c r="J206" s="10">
        <v>15.5508</v>
      </c>
      <c r="K206" s="10">
        <v>204.87</v>
      </c>
      <c r="L206" s="10">
        <v>52</v>
      </c>
      <c r="M206" s="10">
        <v>8.4</v>
      </c>
      <c r="N206" s="29">
        <v>249.487</v>
      </c>
      <c r="O206" s="29">
        <v>30.093</v>
      </c>
      <c r="P206" s="29">
        <v>682.529</v>
      </c>
      <c r="Q206" s="29">
        <v>791.984</v>
      </c>
      <c r="R206" s="29">
        <v>62</v>
      </c>
      <c r="S206" s="25">
        <v>255.59</v>
      </c>
      <c r="T206" s="29">
        <v>1.434114</v>
      </c>
      <c r="U206" s="26">
        <v>0.8121</v>
      </c>
      <c r="V206" s="26">
        <v>71.1373</v>
      </c>
      <c r="W206" s="27">
        <f t="shared" si="3"/>
        <v>1.14159519689389</v>
      </c>
      <c r="X206" s="30">
        <v>17205</v>
      </c>
      <c r="Y206" s="29">
        <v>9859</v>
      </c>
      <c r="Z206" s="29">
        <v>198</v>
      </c>
      <c r="AA206" s="29">
        <v>4244</v>
      </c>
      <c r="AB206" s="29"/>
    </row>
    <row r="207" ht="41" spans="1:28">
      <c r="A207" s="10">
        <v>2018</v>
      </c>
      <c r="B207" s="10">
        <v>640000</v>
      </c>
      <c r="C207" s="24" t="s">
        <v>57</v>
      </c>
      <c r="D207" s="10">
        <v>11224.4</v>
      </c>
      <c r="E207" s="10">
        <v>498.23</v>
      </c>
      <c r="F207" s="10">
        <v>3.6931</v>
      </c>
      <c r="G207" s="10">
        <v>7.1927</v>
      </c>
      <c r="H207" s="10">
        <v>94.8989</v>
      </c>
      <c r="I207" s="10">
        <v>0.7833</v>
      </c>
      <c r="J207" s="10">
        <v>18.5752</v>
      </c>
      <c r="K207" s="10">
        <v>462.92</v>
      </c>
      <c r="L207" s="10">
        <v>50</v>
      </c>
      <c r="M207" s="10">
        <v>8.54497</v>
      </c>
      <c r="N207" s="29">
        <v>267.11</v>
      </c>
      <c r="O207" s="29">
        <v>31.3368</v>
      </c>
      <c r="P207" s="29">
        <v>694.61</v>
      </c>
      <c r="Q207" s="29">
        <v>881.03</v>
      </c>
      <c r="R207" s="29">
        <v>104.58</v>
      </c>
      <c r="S207" s="25">
        <v>272.92</v>
      </c>
      <c r="T207" s="29">
        <v>1.541866</v>
      </c>
      <c r="U207" s="26">
        <v>0.751</v>
      </c>
      <c r="V207" s="26">
        <v>67.9688</v>
      </c>
      <c r="W207" s="27">
        <f t="shared" si="3"/>
        <v>1.10491872741611</v>
      </c>
      <c r="X207" s="30">
        <v>17892</v>
      </c>
      <c r="Y207" s="29">
        <v>11077.1</v>
      </c>
      <c r="Z207" s="29">
        <v>177</v>
      </c>
      <c r="AA207" s="29">
        <v>5658</v>
      </c>
      <c r="AB207" s="29"/>
    </row>
    <row r="208" ht="41" spans="1:28">
      <c r="A208" s="10">
        <v>2019</v>
      </c>
      <c r="B208" s="10">
        <v>640000</v>
      </c>
      <c r="C208" s="24" t="s">
        <v>57</v>
      </c>
      <c r="D208" s="10">
        <v>9631.67</v>
      </c>
      <c r="E208" s="10">
        <v>520.043</v>
      </c>
      <c r="F208" s="10">
        <v>4.8678</v>
      </c>
      <c r="G208" s="10">
        <v>8.1511</v>
      </c>
      <c r="H208" s="10">
        <v>94.946</v>
      </c>
      <c r="I208" s="10">
        <v>0.70415</v>
      </c>
      <c r="J208" s="10">
        <v>23.9326</v>
      </c>
      <c r="K208" s="10">
        <v>743.923</v>
      </c>
      <c r="L208" s="10">
        <v>44.4</v>
      </c>
      <c r="M208" s="10">
        <v>8.6</v>
      </c>
      <c r="N208" s="29">
        <v>243.538</v>
      </c>
      <c r="O208" s="29">
        <v>29.4223</v>
      </c>
      <c r="P208" s="29">
        <v>685.736</v>
      </c>
      <c r="Q208" s="29">
        <v>828.308</v>
      </c>
      <c r="R208" s="29">
        <v>106.87</v>
      </c>
      <c r="S208" s="25">
        <v>292.31</v>
      </c>
      <c r="T208" s="29">
        <v>1.802301</v>
      </c>
      <c r="U208" s="26">
        <v>0.7947</v>
      </c>
      <c r="V208" s="26">
        <v>70.01</v>
      </c>
      <c r="W208" s="27">
        <f t="shared" si="3"/>
        <v>1.13512355377803</v>
      </c>
      <c r="X208" s="30">
        <v>17975</v>
      </c>
      <c r="Y208" s="29">
        <v>12016.1</v>
      </c>
      <c r="Z208" s="29">
        <v>268</v>
      </c>
      <c r="AA208" s="29">
        <v>5555</v>
      </c>
      <c r="AB208" s="29"/>
    </row>
    <row r="209" ht="41" spans="1:28">
      <c r="A209" s="10">
        <v>2020</v>
      </c>
      <c r="B209" s="10">
        <v>640000</v>
      </c>
      <c r="C209" s="24" t="s">
        <v>57</v>
      </c>
      <c r="D209" s="10">
        <v>10463</v>
      </c>
      <c r="E209" s="10">
        <v>550</v>
      </c>
      <c r="F209" s="10">
        <v>5.3</v>
      </c>
      <c r="G209" s="10">
        <v>7.7</v>
      </c>
      <c r="H209" s="10">
        <v>95.4</v>
      </c>
      <c r="I209" s="10">
        <v>0.625</v>
      </c>
      <c r="J209" s="10">
        <v>27.6</v>
      </c>
      <c r="K209" s="10">
        <v>924.34</v>
      </c>
      <c r="L209" s="10">
        <v>45</v>
      </c>
      <c r="M209" s="10">
        <v>8.9</v>
      </c>
      <c r="N209" s="29">
        <v>235.5</v>
      </c>
      <c r="O209" s="29">
        <v>34</v>
      </c>
      <c r="P209" s="29">
        <v>712.7</v>
      </c>
      <c r="Q209" s="29">
        <v>839.2</v>
      </c>
      <c r="R209" s="29">
        <v>110.22</v>
      </c>
      <c r="S209" s="25">
        <v>310.02</v>
      </c>
      <c r="T209" s="29">
        <v>3.432877</v>
      </c>
      <c r="U209" s="26">
        <v>0.7705</v>
      </c>
      <c r="V209" s="26">
        <v>69.1181</v>
      </c>
      <c r="W209" s="27">
        <f t="shared" si="3"/>
        <v>1.1147586522199</v>
      </c>
      <c r="X209" s="30">
        <v>18623</v>
      </c>
      <c r="Y209" s="29">
        <v>12168.8</v>
      </c>
      <c r="Z209" s="29">
        <v>234</v>
      </c>
      <c r="AA209" s="29">
        <v>7710</v>
      </c>
      <c r="AB209" s="29"/>
    </row>
    <row r="210" ht="41" spans="1:28">
      <c r="A210" s="10">
        <v>2021</v>
      </c>
      <c r="B210" s="10">
        <v>640000</v>
      </c>
      <c r="C210" s="24" t="s">
        <v>57</v>
      </c>
      <c r="D210" s="10">
        <v>10927.7</v>
      </c>
      <c r="E210" s="10">
        <v>596.58</v>
      </c>
      <c r="F210" s="10">
        <v>5.8429</v>
      </c>
      <c r="G210" s="10">
        <v>4.6938</v>
      </c>
      <c r="H210" s="10">
        <v>93.8496</v>
      </c>
      <c r="I210" s="10">
        <v>0.7683</v>
      </c>
      <c r="J210" s="10">
        <v>39.6552</v>
      </c>
      <c r="K210" s="10">
        <v>104.64</v>
      </c>
      <c r="L210" s="10">
        <v>44.9</v>
      </c>
      <c r="M210" s="10">
        <v>9.3</v>
      </c>
      <c r="N210" s="29">
        <v>317.202</v>
      </c>
      <c r="O210" s="29">
        <v>35.0483</v>
      </c>
      <c r="P210" s="29">
        <v>750.82</v>
      </c>
      <c r="Q210" s="29">
        <v>866.12</v>
      </c>
      <c r="R210" s="29">
        <v>120.15</v>
      </c>
      <c r="S210" s="25">
        <v>328.23</v>
      </c>
      <c r="T210" s="29">
        <v>3.454345</v>
      </c>
      <c r="U210" s="26">
        <v>0.9707</v>
      </c>
      <c r="V210" s="26">
        <v>70.6635</v>
      </c>
      <c r="W210" s="27">
        <f t="shared" si="3"/>
        <v>1.37369363249768</v>
      </c>
      <c r="X210" s="30">
        <v>20231</v>
      </c>
      <c r="Y210" s="29">
        <v>15929.6</v>
      </c>
      <c r="Z210" s="29">
        <v>211</v>
      </c>
      <c r="AA210" s="29">
        <v>12885</v>
      </c>
      <c r="AB210" s="29"/>
    </row>
    <row r="211" ht="41" spans="1:28">
      <c r="A211" s="10">
        <v>2022</v>
      </c>
      <c r="B211" s="10">
        <v>640000</v>
      </c>
      <c r="C211" s="24" t="s">
        <v>57</v>
      </c>
      <c r="D211" s="10">
        <v>10189.1</v>
      </c>
      <c r="E211" s="10">
        <v>663.736</v>
      </c>
      <c r="F211" s="10">
        <v>6.3361</v>
      </c>
      <c r="G211" s="10">
        <v>4.4469</v>
      </c>
      <c r="H211" s="10">
        <v>96.1037</v>
      </c>
      <c r="I211" s="10">
        <v>0.6978</v>
      </c>
      <c r="J211" s="10">
        <v>42.6925</v>
      </c>
      <c r="K211" s="10">
        <v>106.796</v>
      </c>
      <c r="L211" s="10">
        <v>39.2</v>
      </c>
      <c r="M211" s="10">
        <v>8.50558</v>
      </c>
      <c r="N211" s="29">
        <v>468.604</v>
      </c>
      <c r="O211" s="29">
        <v>36.1584</v>
      </c>
      <c r="P211" s="29">
        <v>787.918</v>
      </c>
      <c r="Q211" s="29">
        <v>890.957</v>
      </c>
      <c r="R211" s="29">
        <v>122.063</v>
      </c>
      <c r="S211" s="25">
        <v>347.39</v>
      </c>
      <c r="T211" s="29">
        <v>4.402339</v>
      </c>
      <c r="U211" s="26">
        <v>0.9676</v>
      </c>
      <c r="V211" s="26">
        <v>71.22</v>
      </c>
      <c r="W211" s="27">
        <f t="shared" si="3"/>
        <v>1.35860713282786</v>
      </c>
      <c r="X211" s="30">
        <v>21476</v>
      </c>
      <c r="Y211" s="29">
        <v>16282.3</v>
      </c>
      <c r="Z211" s="29">
        <v>311</v>
      </c>
      <c r="AA211" s="29">
        <v>12452</v>
      </c>
      <c r="AB211" s="29"/>
    </row>
    <row r="212" ht="41" spans="1:28">
      <c r="A212" s="10">
        <v>2023</v>
      </c>
      <c r="B212" s="10">
        <v>640000</v>
      </c>
      <c r="C212" s="24" t="s">
        <v>57</v>
      </c>
      <c r="D212" s="10">
        <v>10603</v>
      </c>
      <c r="E212" s="10">
        <v>707.9</v>
      </c>
      <c r="F212" s="10">
        <v>6.3</v>
      </c>
      <c r="G212" s="10">
        <v>4.1</v>
      </c>
      <c r="H212" s="10">
        <v>92.6447</v>
      </c>
      <c r="I212" s="10">
        <v>0.7193</v>
      </c>
      <c r="J212" s="10">
        <v>42.24</v>
      </c>
      <c r="K212" s="10">
        <v>117.01</v>
      </c>
      <c r="L212" s="10">
        <v>35.0638</v>
      </c>
      <c r="M212" s="10">
        <v>12.3862</v>
      </c>
      <c r="N212" s="29">
        <v>750.991</v>
      </c>
      <c r="O212" s="29">
        <v>36.3208</v>
      </c>
      <c r="P212" s="29">
        <v>819.1</v>
      </c>
      <c r="Q212" s="29">
        <v>918</v>
      </c>
      <c r="R212" s="29"/>
      <c r="S212" s="25">
        <v>366.72</v>
      </c>
      <c r="T212" s="29">
        <v>7.264377</v>
      </c>
      <c r="U212" s="26">
        <v>0.9434</v>
      </c>
      <c r="V212" s="26">
        <v>74.1995</v>
      </c>
      <c r="W212" s="27">
        <f t="shared" si="3"/>
        <v>1.27143713906428</v>
      </c>
      <c r="X212" s="30">
        <v>23688</v>
      </c>
      <c r="Y212" s="29">
        <v>18046.1</v>
      </c>
      <c r="Z212" s="29">
        <v>414</v>
      </c>
      <c r="AA212" s="29">
        <v>10363</v>
      </c>
      <c r="AB212" s="29"/>
    </row>
    <row r="213" ht="21" spans="1:28">
      <c r="A213" s="10">
        <v>2013</v>
      </c>
      <c r="B213" s="10">
        <v>630000</v>
      </c>
      <c r="C213" s="24" t="s">
        <v>58</v>
      </c>
      <c r="D213" s="10">
        <v>33583</v>
      </c>
      <c r="E213" s="10">
        <v>117.8</v>
      </c>
      <c r="F213" s="10">
        <v>1.2871</v>
      </c>
      <c r="G213" s="10">
        <v>1.1134</v>
      </c>
      <c r="H213" s="10">
        <v>55.3984</v>
      </c>
      <c r="I213" s="10">
        <v>0.2216</v>
      </c>
      <c r="J213" s="10">
        <v>0.89522</v>
      </c>
      <c r="K213" s="10">
        <v>64.5262</v>
      </c>
      <c r="L213" s="10">
        <v>50.4843</v>
      </c>
      <c r="M213" s="10">
        <v>2.33618</v>
      </c>
      <c r="N213" s="29">
        <v>35.2592</v>
      </c>
      <c r="O213" s="29">
        <v>22.8522</v>
      </c>
      <c r="P213" s="29"/>
      <c r="Q213" s="29">
        <v>542.4</v>
      </c>
      <c r="R213" s="29">
        <v>57.55</v>
      </c>
      <c r="S213" s="25">
        <v>118.01</v>
      </c>
      <c r="T213" s="29">
        <v>0.0518972</v>
      </c>
      <c r="U213" s="26">
        <v>1.0001</v>
      </c>
      <c r="V213" s="26">
        <v>64.1946</v>
      </c>
      <c r="W213" s="27">
        <f t="shared" si="3"/>
        <v>1.55791920192664</v>
      </c>
      <c r="X213" s="30">
        <v>6813</v>
      </c>
      <c r="Y213" s="29">
        <v>4767</v>
      </c>
      <c r="Z213" s="29">
        <v>33</v>
      </c>
      <c r="AA213" s="29">
        <v>502</v>
      </c>
      <c r="AB213" s="29"/>
    </row>
    <row r="214" ht="21" spans="1:28">
      <c r="A214" s="10">
        <v>2014</v>
      </c>
      <c r="B214" s="10">
        <v>630000</v>
      </c>
      <c r="C214" s="24" t="s">
        <v>58</v>
      </c>
      <c r="D214" s="10">
        <v>38974.5</v>
      </c>
      <c r="E214" s="10">
        <v>134.15</v>
      </c>
      <c r="F214" s="10">
        <v>2.1</v>
      </c>
      <c r="G214" s="10">
        <v>1.594</v>
      </c>
      <c r="H214" s="10">
        <v>59.7579</v>
      </c>
      <c r="I214" s="10">
        <v>0.2111</v>
      </c>
      <c r="J214" s="10">
        <v>1.23871</v>
      </c>
      <c r="K214" s="10">
        <v>77.21</v>
      </c>
      <c r="L214" s="10">
        <v>55.2551</v>
      </c>
      <c r="M214" s="10">
        <v>4.03061</v>
      </c>
      <c r="N214" s="29">
        <v>60.3655</v>
      </c>
      <c r="O214" s="29">
        <v>23.5048</v>
      </c>
      <c r="P214" s="29">
        <v>326.04</v>
      </c>
      <c r="Q214" s="29">
        <v>543.99</v>
      </c>
      <c r="R214" s="29">
        <v>64.4769</v>
      </c>
      <c r="S214" s="25">
        <v>145.93</v>
      </c>
      <c r="T214" s="29">
        <v>0.1124671</v>
      </c>
      <c r="U214" s="26">
        <v>0.933</v>
      </c>
      <c r="V214" s="26">
        <v>63.1861</v>
      </c>
      <c r="W214" s="27">
        <f t="shared" si="3"/>
        <v>1.47659057925715</v>
      </c>
      <c r="X214" s="30">
        <v>7150</v>
      </c>
      <c r="Y214" s="29">
        <v>4731</v>
      </c>
      <c r="Z214" s="29">
        <v>47</v>
      </c>
      <c r="AA214" s="29">
        <v>619</v>
      </c>
      <c r="AB214" s="29"/>
    </row>
    <row r="215" ht="21" spans="1:28">
      <c r="A215" s="10">
        <v>2015</v>
      </c>
      <c r="B215" s="10">
        <v>630000</v>
      </c>
      <c r="C215" s="24" t="s">
        <v>58</v>
      </c>
      <c r="D215" s="10">
        <v>40560</v>
      </c>
      <c r="E215" s="10">
        <v>208.14</v>
      </c>
      <c r="F215" s="10">
        <v>2.8556</v>
      </c>
      <c r="G215" s="10">
        <v>2.6</v>
      </c>
      <c r="H215" s="10"/>
      <c r="I215" s="10">
        <v>0.3</v>
      </c>
      <c r="J215" s="10">
        <v>1.21421</v>
      </c>
      <c r="K215" s="10">
        <v>101.65</v>
      </c>
      <c r="L215" s="10">
        <v>57</v>
      </c>
      <c r="M215" s="10">
        <v>8.2</v>
      </c>
      <c r="N215" s="29">
        <v>643.742</v>
      </c>
      <c r="O215" s="29">
        <v>26.3458</v>
      </c>
      <c r="P215" s="29">
        <v>394.04</v>
      </c>
      <c r="Q215" s="29">
        <v>517.1</v>
      </c>
      <c r="R215" s="29">
        <v>68.9419</v>
      </c>
      <c r="S215" s="25">
        <v>195.15</v>
      </c>
      <c r="T215" s="29">
        <v>0.3319979</v>
      </c>
      <c r="U215" s="26">
        <v>0.8184</v>
      </c>
      <c r="V215" s="26">
        <v>62.7136</v>
      </c>
      <c r="W215" s="27">
        <f t="shared" si="3"/>
        <v>1.30498010001021</v>
      </c>
      <c r="X215" s="30">
        <v>7384</v>
      </c>
      <c r="Y215" s="29">
        <v>4007.7</v>
      </c>
      <c r="Z215" s="29">
        <v>41</v>
      </c>
      <c r="AA215" s="29">
        <v>1217</v>
      </c>
      <c r="AB215" s="29"/>
    </row>
    <row r="216" ht="21" spans="1:28">
      <c r="A216" s="10">
        <v>2016</v>
      </c>
      <c r="B216" s="10">
        <v>630000</v>
      </c>
      <c r="C216" s="24" t="s">
        <v>58</v>
      </c>
      <c r="D216" s="10">
        <v>42470.1</v>
      </c>
      <c r="E216" s="10">
        <v>262.208</v>
      </c>
      <c r="F216" s="10">
        <v>3.4786</v>
      </c>
      <c r="G216" s="10">
        <v>4.5972</v>
      </c>
      <c r="H216" s="10"/>
      <c r="I216" s="10">
        <v>0.3524</v>
      </c>
      <c r="J216" s="10">
        <v>1.1541</v>
      </c>
      <c r="K216" s="10">
        <v>67.21</v>
      </c>
      <c r="L216" s="10">
        <v>58</v>
      </c>
      <c r="M216" s="10">
        <v>10.8</v>
      </c>
      <c r="N216" s="29">
        <v>441.726</v>
      </c>
      <c r="O216" s="29">
        <v>27.3981</v>
      </c>
      <c r="P216" s="29">
        <v>434.57</v>
      </c>
      <c r="Q216" s="29">
        <v>539.76</v>
      </c>
      <c r="R216" s="29">
        <v>54.1</v>
      </c>
      <c r="S216" s="25">
        <v>200.38</v>
      </c>
      <c r="T216" s="29">
        <v>0.6359625</v>
      </c>
      <c r="U216" s="26">
        <v>0.8907</v>
      </c>
      <c r="V216" s="26">
        <v>63.0926</v>
      </c>
      <c r="W216" s="27">
        <f t="shared" si="3"/>
        <v>1.41173449818204</v>
      </c>
      <c r="X216" s="30">
        <v>8031</v>
      </c>
      <c r="Y216" s="29">
        <v>4165.6</v>
      </c>
      <c r="Z216" s="29">
        <v>46</v>
      </c>
      <c r="AA216" s="29">
        <v>1357</v>
      </c>
      <c r="AB216" s="29"/>
    </row>
    <row r="217" ht="21" spans="1:28">
      <c r="A217" s="10">
        <v>2017</v>
      </c>
      <c r="B217" s="10">
        <v>630000</v>
      </c>
      <c r="C217" s="24" t="s">
        <v>58</v>
      </c>
      <c r="D217" s="10">
        <v>42728.1</v>
      </c>
      <c r="E217" s="10">
        <v>310.547</v>
      </c>
      <c r="F217" s="10">
        <v>3.5187</v>
      </c>
      <c r="G217" s="10">
        <v>2.0124</v>
      </c>
      <c r="H217" s="10">
        <v>60.9668</v>
      </c>
      <c r="I217" s="10">
        <v>0.3586</v>
      </c>
      <c r="J217" s="10">
        <v>0.8744</v>
      </c>
      <c r="K217" s="10">
        <v>161.684</v>
      </c>
      <c r="L217" s="10">
        <v>56</v>
      </c>
      <c r="M217" s="10">
        <v>9.1</v>
      </c>
      <c r="N217" s="29">
        <v>133.027</v>
      </c>
      <c r="O217" s="29">
        <v>30.1939</v>
      </c>
      <c r="P217" s="29">
        <v>533.294</v>
      </c>
      <c r="Q217" s="29">
        <v>610.88</v>
      </c>
      <c r="R217" s="29">
        <v>44.35</v>
      </c>
      <c r="S217" s="25">
        <v>240.2</v>
      </c>
      <c r="T217" s="29">
        <v>0.9345188</v>
      </c>
      <c r="U217" s="26">
        <v>0.9</v>
      </c>
      <c r="V217" s="26">
        <v>63.3496</v>
      </c>
      <c r="W217" s="27">
        <f t="shared" si="3"/>
        <v>1.4206877391491</v>
      </c>
      <c r="X217" s="30">
        <v>7937</v>
      </c>
      <c r="Y217" s="29">
        <v>5656</v>
      </c>
      <c r="Z217" s="29">
        <v>50</v>
      </c>
      <c r="AA217" s="29">
        <v>1580</v>
      </c>
      <c r="AB217" s="29"/>
    </row>
    <row r="218" ht="21" spans="1:28">
      <c r="A218" s="10">
        <v>2018</v>
      </c>
      <c r="B218" s="10">
        <v>630000</v>
      </c>
      <c r="C218" s="24" t="s">
        <v>58</v>
      </c>
      <c r="D218" s="10">
        <v>40330.1</v>
      </c>
      <c r="E218" s="10">
        <v>355.42</v>
      </c>
      <c r="F218" s="10">
        <v>3.7324</v>
      </c>
      <c r="G218" s="10">
        <v>3.0392</v>
      </c>
      <c r="H218" s="10">
        <v>61.0064</v>
      </c>
      <c r="I218" s="10">
        <v>0.389</v>
      </c>
      <c r="J218" s="10">
        <v>1.41057</v>
      </c>
      <c r="K218" s="10">
        <v>422.81</v>
      </c>
      <c r="L218" s="10">
        <v>51</v>
      </c>
      <c r="M218" s="10">
        <v>8.98551</v>
      </c>
      <c r="N218" s="29">
        <v>168.044</v>
      </c>
      <c r="O218" s="29">
        <v>35.8876</v>
      </c>
      <c r="P218" s="29">
        <v>558.97</v>
      </c>
      <c r="Q218" s="29">
        <v>686.4</v>
      </c>
      <c r="R218" s="29">
        <v>94.74</v>
      </c>
      <c r="S218" s="25">
        <v>263.12</v>
      </c>
      <c r="T218" s="29">
        <v>0.8787891</v>
      </c>
      <c r="U218" s="26">
        <v>0.8515</v>
      </c>
      <c r="V218" s="26">
        <v>62.7218</v>
      </c>
      <c r="W218" s="27">
        <f t="shared" si="3"/>
        <v>1.35758221224518</v>
      </c>
      <c r="X218" s="30">
        <v>8331</v>
      </c>
      <c r="Y218" s="29">
        <v>4301.1</v>
      </c>
      <c r="Z218" s="29">
        <v>45</v>
      </c>
      <c r="AA218" s="29">
        <v>2668</v>
      </c>
      <c r="AB218" s="29"/>
    </row>
    <row r="219" ht="21" spans="1:28">
      <c r="A219" s="10">
        <v>2019</v>
      </c>
      <c r="B219" s="10">
        <v>630000</v>
      </c>
      <c r="C219" s="24" t="s">
        <v>58</v>
      </c>
      <c r="D219" s="10">
        <v>41052.1</v>
      </c>
      <c r="E219" s="10">
        <v>382.299</v>
      </c>
      <c r="F219" s="10">
        <v>4.89</v>
      </c>
      <c r="G219" s="10">
        <v>3.8997</v>
      </c>
      <c r="H219" s="10">
        <v>61.0367</v>
      </c>
      <c r="I219" s="10">
        <v>0.3884</v>
      </c>
      <c r="J219" s="10">
        <v>2.15429</v>
      </c>
      <c r="K219" s="10">
        <v>636.979</v>
      </c>
      <c r="L219" s="10">
        <v>44.3</v>
      </c>
      <c r="M219" s="10">
        <v>9.3</v>
      </c>
      <c r="N219" s="29">
        <v>210.813</v>
      </c>
      <c r="O219" s="29">
        <v>39.95</v>
      </c>
      <c r="P219" s="29">
        <v>564.671</v>
      </c>
      <c r="Q219" s="29">
        <v>673.055</v>
      </c>
      <c r="R219" s="29">
        <v>95.95</v>
      </c>
      <c r="S219" s="25">
        <v>282.65</v>
      </c>
      <c r="T219" s="29">
        <v>1.39607</v>
      </c>
      <c r="U219" s="26">
        <v>0.948</v>
      </c>
      <c r="V219" s="26">
        <v>67.0094</v>
      </c>
      <c r="W219" s="27">
        <f t="shared" si="3"/>
        <v>1.41472688906333</v>
      </c>
      <c r="X219" s="30">
        <v>8570</v>
      </c>
      <c r="Y219" s="29">
        <v>5476</v>
      </c>
      <c r="Z219" s="29">
        <v>47</v>
      </c>
      <c r="AA219" s="29">
        <v>3046</v>
      </c>
      <c r="AB219" s="29"/>
    </row>
    <row r="220" ht="21" spans="1:28">
      <c r="A220" s="10">
        <v>2020</v>
      </c>
      <c r="B220" s="10">
        <v>630000</v>
      </c>
      <c r="C220" s="24" t="s">
        <v>58</v>
      </c>
      <c r="D220" s="10">
        <v>43616</v>
      </c>
      <c r="E220" s="10">
        <v>412.8</v>
      </c>
      <c r="F220" s="10">
        <v>5.7</v>
      </c>
      <c r="G220" s="10">
        <v>4.5</v>
      </c>
      <c r="H220" s="10">
        <v>61.3</v>
      </c>
      <c r="I220" s="10">
        <v>0.3878</v>
      </c>
      <c r="J220" s="10">
        <v>4.76</v>
      </c>
      <c r="K220" s="10">
        <v>827.54</v>
      </c>
      <c r="L220" s="10">
        <v>43</v>
      </c>
      <c r="M220" s="10">
        <v>10.3</v>
      </c>
      <c r="N220" s="29">
        <v>201.6</v>
      </c>
      <c r="O220" s="29">
        <v>42</v>
      </c>
      <c r="P220" s="29">
        <v>581.1</v>
      </c>
      <c r="Q220" s="29">
        <v>659.4</v>
      </c>
      <c r="R220" s="29">
        <v>97.36</v>
      </c>
      <c r="S220" s="25">
        <v>298.23</v>
      </c>
      <c r="T220" s="29">
        <v>2.383547</v>
      </c>
      <c r="U220" s="26">
        <v>0.9439</v>
      </c>
      <c r="V220" s="26">
        <v>66.4042</v>
      </c>
      <c r="W220" s="27">
        <f t="shared" si="3"/>
        <v>1.42144623382256</v>
      </c>
      <c r="X220" s="30">
        <v>9224</v>
      </c>
      <c r="Y220" s="29">
        <v>4423.3</v>
      </c>
      <c r="Z220" s="29">
        <v>64</v>
      </c>
      <c r="AA220" s="29">
        <v>4693</v>
      </c>
      <c r="AB220" s="29"/>
    </row>
    <row r="221" ht="21" spans="1:28">
      <c r="A221" s="10">
        <v>2021</v>
      </c>
      <c r="B221" s="10">
        <v>630000</v>
      </c>
      <c r="C221" s="24" t="s">
        <v>58</v>
      </c>
      <c r="D221" s="10">
        <v>36281.4</v>
      </c>
      <c r="E221" s="10">
        <v>438.34</v>
      </c>
      <c r="F221" s="10">
        <v>5.9851</v>
      </c>
      <c r="G221" s="10">
        <v>2.3155</v>
      </c>
      <c r="H221" s="10">
        <v>59.6544</v>
      </c>
      <c r="I221" s="10">
        <v>0.4682</v>
      </c>
      <c r="J221" s="10">
        <v>2.48523</v>
      </c>
      <c r="K221" s="10">
        <v>86.14</v>
      </c>
      <c r="L221" s="10">
        <v>42.7</v>
      </c>
      <c r="M221" s="10">
        <v>12.7</v>
      </c>
      <c r="N221" s="29">
        <v>665.171</v>
      </c>
      <c r="O221" s="29">
        <v>43.6287</v>
      </c>
      <c r="P221" s="29">
        <v>609.07</v>
      </c>
      <c r="Q221" s="29">
        <v>680.48</v>
      </c>
      <c r="R221" s="29">
        <v>97.67</v>
      </c>
      <c r="S221" s="25">
        <v>313.88</v>
      </c>
      <c r="T221" s="29">
        <v>2.5947</v>
      </c>
      <c r="U221" s="26">
        <v>0.8913</v>
      </c>
      <c r="V221" s="26">
        <v>67.1196</v>
      </c>
      <c r="W221" s="27">
        <f t="shared" si="3"/>
        <v>1.32792805678222</v>
      </c>
      <c r="X221" s="30">
        <v>9554</v>
      </c>
      <c r="Y221" s="29">
        <v>5204.2</v>
      </c>
      <c r="Z221" s="29">
        <v>54</v>
      </c>
      <c r="AA221" s="29">
        <v>6591</v>
      </c>
      <c r="AB221" s="29"/>
    </row>
    <row r="222" ht="21" spans="1:28">
      <c r="A222" s="10">
        <v>2022</v>
      </c>
      <c r="B222" s="10">
        <v>630000</v>
      </c>
      <c r="C222" s="24" t="s">
        <v>58</v>
      </c>
      <c r="D222" s="10">
        <v>41905.2</v>
      </c>
      <c r="E222" s="10">
        <v>460.046</v>
      </c>
      <c r="F222" s="10">
        <v>6.2472</v>
      </c>
      <c r="G222" s="10">
        <v>2.2712</v>
      </c>
      <c r="H222" s="10">
        <v>61.781</v>
      </c>
      <c r="I222" s="10">
        <v>0.4173</v>
      </c>
      <c r="J222" s="10">
        <v>3.05619</v>
      </c>
      <c r="K222" s="10">
        <v>90.8685</v>
      </c>
      <c r="L222" s="10">
        <v>37.4</v>
      </c>
      <c r="M222" s="10">
        <v>12.1951</v>
      </c>
      <c r="N222" s="10">
        <v>820.015</v>
      </c>
      <c r="O222" s="10">
        <v>44.1591</v>
      </c>
      <c r="P222" s="10">
        <v>650.089</v>
      </c>
      <c r="Q222" s="10">
        <v>704.352</v>
      </c>
      <c r="R222" s="10">
        <v>98.9595</v>
      </c>
      <c r="S222" s="25">
        <v>330.35</v>
      </c>
      <c r="T222" s="10">
        <v>2.799551</v>
      </c>
      <c r="U222" s="26">
        <v>0.9566</v>
      </c>
      <c r="V222" s="26">
        <v>65.7986</v>
      </c>
      <c r="W222" s="27">
        <f t="shared" si="3"/>
        <v>1.45383032465736</v>
      </c>
      <c r="X222" s="27">
        <v>10439</v>
      </c>
      <c r="Y222" s="10">
        <v>5328.8</v>
      </c>
      <c r="Z222" s="10">
        <v>39</v>
      </c>
      <c r="AA222" s="10">
        <v>5276</v>
      </c>
      <c r="AB222" s="10"/>
    </row>
    <row r="223" ht="21" spans="1:28">
      <c r="A223" s="10">
        <v>2023</v>
      </c>
      <c r="B223" s="10">
        <v>630000</v>
      </c>
      <c r="C223" s="24" t="s">
        <v>58</v>
      </c>
      <c r="D223" s="10">
        <v>41990</v>
      </c>
      <c r="E223" s="10">
        <v>463</v>
      </c>
      <c r="F223" s="10">
        <v>6.9</v>
      </c>
      <c r="G223" s="10">
        <v>1.7</v>
      </c>
      <c r="H223" s="10">
        <v>58.3319</v>
      </c>
      <c r="I223" s="10">
        <v>0.414</v>
      </c>
      <c r="J223" s="10">
        <v>4.91</v>
      </c>
      <c r="K223" s="10">
        <v>96.19</v>
      </c>
      <c r="L223" s="10">
        <v>31.7002</v>
      </c>
      <c r="M223" s="10">
        <v>13.4552</v>
      </c>
      <c r="N223" s="10">
        <v>483.752</v>
      </c>
      <c r="O223" s="10">
        <v>41.0681</v>
      </c>
      <c r="P223" s="10">
        <v>686.2</v>
      </c>
      <c r="Q223" s="10">
        <v>739.1</v>
      </c>
      <c r="R223" s="10"/>
      <c r="S223" s="25">
        <v>347.65</v>
      </c>
      <c r="T223" s="10">
        <v>4.191516</v>
      </c>
      <c r="U223" s="26">
        <v>0.9208</v>
      </c>
      <c r="V223" s="26">
        <v>65.9149</v>
      </c>
      <c r="W223" s="27">
        <f t="shared" si="3"/>
        <v>1.39695273754493</v>
      </c>
      <c r="X223" s="27">
        <v>11402</v>
      </c>
      <c r="Y223" s="10">
        <v>6002.6</v>
      </c>
      <c r="Z223" s="10">
        <v>38</v>
      </c>
      <c r="AA223" s="10">
        <v>3987</v>
      </c>
      <c r="AB223" s="10"/>
    </row>
    <row r="224" ht="21" spans="1:28">
      <c r="A224" s="10">
        <v>2013</v>
      </c>
      <c r="B224" s="10">
        <v>370000</v>
      </c>
      <c r="C224" s="24" t="s">
        <v>59</v>
      </c>
      <c r="D224" s="10">
        <v>32373</v>
      </c>
      <c r="E224" s="10">
        <v>2537</v>
      </c>
      <c r="F224" s="10">
        <v>14.2994</v>
      </c>
      <c r="G224" s="10">
        <v>432.392</v>
      </c>
      <c r="H224" s="10">
        <v>493.901</v>
      </c>
      <c r="I224" s="10">
        <v>14.5757</v>
      </c>
      <c r="J224" s="10">
        <v>2264.05</v>
      </c>
      <c r="K224" s="10">
        <v>946.391</v>
      </c>
      <c r="L224" s="10">
        <v>49.2781</v>
      </c>
      <c r="M224" s="10">
        <v>4.56714</v>
      </c>
      <c r="N224" s="10">
        <v>4111.41</v>
      </c>
      <c r="O224" s="10">
        <v>15.0411</v>
      </c>
      <c r="P224" s="10">
        <v>5556.1</v>
      </c>
      <c r="Q224" s="10">
        <v>8333.4</v>
      </c>
      <c r="R224" s="10">
        <v>1369.49</v>
      </c>
      <c r="S224" s="25">
        <v>159.3</v>
      </c>
      <c r="T224" s="10">
        <v>9.307868</v>
      </c>
      <c r="U224" s="26">
        <v>17.5437</v>
      </c>
      <c r="V224" s="26">
        <v>1290.6</v>
      </c>
      <c r="W224" s="27">
        <f t="shared" si="3"/>
        <v>1.35934449093445</v>
      </c>
      <c r="X224" s="27">
        <v>211661</v>
      </c>
      <c r="Y224" s="10">
        <v>279331</v>
      </c>
      <c r="Z224" s="10">
        <v>3897</v>
      </c>
      <c r="AA224" s="10">
        <v>76976</v>
      </c>
      <c r="AB224" s="10"/>
    </row>
    <row r="225" ht="21" spans="1:28">
      <c r="A225" s="10">
        <v>2014</v>
      </c>
      <c r="B225" s="10">
        <v>370000</v>
      </c>
      <c r="C225" s="24" t="s">
        <v>59</v>
      </c>
      <c r="D225" s="10">
        <v>34872.6</v>
      </c>
      <c r="E225" s="10">
        <v>2949.1</v>
      </c>
      <c r="F225" s="10">
        <v>21.4</v>
      </c>
      <c r="G225" s="10">
        <v>304.169</v>
      </c>
      <c r="H225" s="10">
        <v>1646.66</v>
      </c>
      <c r="I225" s="10">
        <v>15.8028</v>
      </c>
      <c r="J225" s="10">
        <v>3088.68</v>
      </c>
      <c r="K225" s="10">
        <v>1066.84</v>
      </c>
      <c r="L225" s="10">
        <v>53.4767</v>
      </c>
      <c r="M225" s="10">
        <v>5.43666</v>
      </c>
      <c r="N225" s="10">
        <v>5029.23</v>
      </c>
      <c r="O225" s="10">
        <v>16.878</v>
      </c>
      <c r="P225" s="10">
        <v>5569.23</v>
      </c>
      <c r="Q225" s="10">
        <v>8664.07</v>
      </c>
      <c r="R225" s="10">
        <v>1730.75</v>
      </c>
      <c r="S225" s="25">
        <v>181.88</v>
      </c>
      <c r="T225" s="10">
        <v>9.903503</v>
      </c>
      <c r="U225" s="26">
        <v>16.9694</v>
      </c>
      <c r="V225" s="26">
        <v>1266.34</v>
      </c>
      <c r="W225" s="27">
        <f t="shared" si="3"/>
        <v>1.3400350616738</v>
      </c>
      <c r="X225" s="27">
        <v>215460</v>
      </c>
      <c r="Y225" s="10">
        <v>286352</v>
      </c>
      <c r="Z225" s="10">
        <v>4134</v>
      </c>
      <c r="AA225" s="10">
        <v>72818</v>
      </c>
      <c r="AB225" s="10"/>
    </row>
    <row r="226" ht="21" spans="1:28">
      <c r="A226" s="10">
        <v>2015</v>
      </c>
      <c r="B226" s="10">
        <v>370000</v>
      </c>
      <c r="C226" s="24" t="s">
        <v>59</v>
      </c>
      <c r="D226" s="10">
        <v>36737</v>
      </c>
      <c r="E226" s="10">
        <v>4003.35</v>
      </c>
      <c r="F226" s="10">
        <v>28.4152</v>
      </c>
      <c r="G226" s="10">
        <v>199.3</v>
      </c>
      <c r="H226" s="10"/>
      <c r="I226" s="10">
        <v>22.6</v>
      </c>
      <c r="J226" s="10">
        <v>3719.95</v>
      </c>
      <c r="K226" s="10">
        <v>1269.06</v>
      </c>
      <c r="L226" s="10">
        <v>54</v>
      </c>
      <c r="M226" s="10">
        <v>6.6</v>
      </c>
      <c r="N226" s="10">
        <v>5989.2</v>
      </c>
      <c r="O226" s="10">
        <v>17.951</v>
      </c>
      <c r="P226" s="10">
        <v>6109.58</v>
      </c>
      <c r="Q226" s="10">
        <v>9088.81</v>
      </c>
      <c r="R226" s="10">
        <v>1700.64</v>
      </c>
      <c r="S226" s="25">
        <v>220.66</v>
      </c>
      <c r="T226" s="10">
        <v>15.22702</v>
      </c>
      <c r="U226" s="26">
        <v>17.4352</v>
      </c>
      <c r="V226" s="26">
        <v>1236.72</v>
      </c>
      <c r="W226" s="27">
        <f t="shared" si="3"/>
        <v>1.40979364771331</v>
      </c>
      <c r="X226" s="27">
        <v>227503</v>
      </c>
      <c r="Y226" s="10">
        <v>297845</v>
      </c>
      <c r="Z226" s="10">
        <v>3971</v>
      </c>
      <c r="AA226" s="10">
        <v>98101</v>
      </c>
      <c r="AB226" s="10"/>
    </row>
    <row r="227" ht="21" spans="1:28">
      <c r="A227" s="10">
        <v>2016</v>
      </c>
      <c r="B227" s="10">
        <v>370000</v>
      </c>
      <c r="C227" s="24" t="s">
        <v>59</v>
      </c>
      <c r="D227" s="10">
        <v>39093</v>
      </c>
      <c r="E227" s="10">
        <v>4680.02</v>
      </c>
      <c r="F227" s="10">
        <v>34.1402</v>
      </c>
      <c r="G227" s="10">
        <v>172.067</v>
      </c>
      <c r="H227" s="10"/>
      <c r="I227" s="10">
        <v>27.2766</v>
      </c>
      <c r="J227" s="10">
        <v>4261.08</v>
      </c>
      <c r="K227" s="10">
        <v>863.38</v>
      </c>
      <c r="L227" s="10">
        <v>53.8</v>
      </c>
      <c r="M227" s="10">
        <v>9.9</v>
      </c>
      <c r="N227" s="10">
        <v>9890.22</v>
      </c>
      <c r="O227" s="10">
        <v>19.0509</v>
      </c>
      <c r="P227" s="10">
        <v>7391.24</v>
      </c>
      <c r="Q227" s="10">
        <v>9594.52</v>
      </c>
      <c r="R227" s="10">
        <v>1762.66</v>
      </c>
      <c r="S227" s="25">
        <v>232.57</v>
      </c>
      <c r="T227" s="10">
        <v>22.70541</v>
      </c>
      <c r="U227" s="26">
        <v>18.2471</v>
      </c>
      <c r="V227" s="26">
        <v>1215.46</v>
      </c>
      <c r="W227" s="27">
        <f t="shared" si="3"/>
        <v>1.5012505553453</v>
      </c>
      <c r="X227" s="27">
        <v>236551</v>
      </c>
      <c r="Y227" s="10">
        <v>301480</v>
      </c>
      <c r="Z227" s="10">
        <v>4528</v>
      </c>
      <c r="AA227" s="10">
        <v>98093</v>
      </c>
      <c r="AB227" s="10"/>
    </row>
    <row r="228" ht="21" spans="1:28">
      <c r="A228" s="10">
        <v>2017</v>
      </c>
      <c r="B228" s="10">
        <v>370000</v>
      </c>
      <c r="C228" s="24" t="s">
        <v>59</v>
      </c>
      <c r="D228" s="10">
        <v>40667</v>
      </c>
      <c r="E228" s="10">
        <v>5596.91</v>
      </c>
      <c r="F228" s="10">
        <v>40.3341</v>
      </c>
      <c r="G228" s="10">
        <v>119.646</v>
      </c>
      <c r="H228" s="10">
        <v>1656.27</v>
      </c>
      <c r="I228" s="10">
        <v>31.2313</v>
      </c>
      <c r="J228" s="10">
        <v>4233.14</v>
      </c>
      <c r="K228" s="10">
        <v>1499</v>
      </c>
      <c r="L228" s="10">
        <v>53</v>
      </c>
      <c r="M228" s="10">
        <v>9</v>
      </c>
      <c r="N228" s="10">
        <v>13893</v>
      </c>
      <c r="O228" s="10">
        <v>20.138</v>
      </c>
      <c r="P228" s="10">
        <v>8507.99</v>
      </c>
      <c r="Q228" s="10">
        <v>9943.86</v>
      </c>
      <c r="R228" s="10">
        <v>1694.99</v>
      </c>
      <c r="S228" s="25">
        <v>272.06</v>
      </c>
      <c r="T228" s="10">
        <v>32.84538</v>
      </c>
      <c r="U228" s="26">
        <v>18.8821</v>
      </c>
      <c r="V228" s="26">
        <v>1192.94</v>
      </c>
      <c r="W228" s="27">
        <f t="shared" si="3"/>
        <v>1.58282059449763</v>
      </c>
      <c r="X228" s="27">
        <v>245517</v>
      </c>
      <c r="Y228" s="10">
        <v>304820</v>
      </c>
      <c r="Z228" s="10">
        <v>5361</v>
      </c>
      <c r="AA228" s="10">
        <v>100522</v>
      </c>
      <c r="AB228" s="10"/>
    </row>
    <row r="229" ht="21" spans="1:28">
      <c r="A229" s="10">
        <v>2018</v>
      </c>
      <c r="B229" s="10">
        <v>370000</v>
      </c>
      <c r="C229" s="24" t="s">
        <v>59</v>
      </c>
      <c r="D229" s="10">
        <v>36399.8</v>
      </c>
      <c r="E229" s="10">
        <v>6312.27</v>
      </c>
      <c r="F229" s="10">
        <v>42.2752</v>
      </c>
      <c r="G229" s="10">
        <v>151.659</v>
      </c>
      <c r="H229" s="10">
        <v>1657.34</v>
      </c>
      <c r="I229" s="10">
        <v>31.7296</v>
      </c>
      <c r="J229" s="10">
        <v>4949.35</v>
      </c>
      <c r="K229" s="10">
        <v>3659.14</v>
      </c>
      <c r="L229" s="10">
        <v>53</v>
      </c>
      <c r="M229" s="10">
        <v>13.5009</v>
      </c>
      <c r="N229" s="10">
        <v>15992.2</v>
      </c>
      <c r="O229" s="10">
        <v>23.5496</v>
      </c>
      <c r="P229" s="10">
        <v>8418.57</v>
      </c>
      <c r="Q229" s="10">
        <v>10569.6</v>
      </c>
      <c r="R229" s="10">
        <v>1567.69</v>
      </c>
      <c r="S229" s="25">
        <v>301.13</v>
      </c>
      <c r="T229" s="10">
        <v>35.99422</v>
      </c>
      <c r="U229" s="26">
        <v>18.0143</v>
      </c>
      <c r="V229" s="26">
        <v>1128.95</v>
      </c>
      <c r="W229" s="27">
        <f t="shared" si="3"/>
        <v>1.59566854156517</v>
      </c>
      <c r="X229" s="27">
        <v>239609</v>
      </c>
      <c r="Y229" s="10">
        <v>308339</v>
      </c>
      <c r="Z229" s="10">
        <v>4087</v>
      </c>
      <c r="AA229" s="10">
        <v>132382</v>
      </c>
      <c r="AB229" s="10"/>
    </row>
    <row r="230" ht="21" spans="1:28">
      <c r="A230" s="10">
        <v>2019</v>
      </c>
      <c r="B230" s="10">
        <v>370000</v>
      </c>
      <c r="C230" s="24" t="s">
        <v>59</v>
      </c>
      <c r="D230" s="10">
        <v>38049.4</v>
      </c>
      <c r="E230" s="10">
        <v>6915.23</v>
      </c>
      <c r="F230" s="10">
        <v>55.7845</v>
      </c>
      <c r="G230" s="10">
        <v>177.31</v>
      </c>
      <c r="H230" s="10">
        <v>1658.16</v>
      </c>
      <c r="I230" s="10">
        <v>28.4143</v>
      </c>
      <c r="J230" s="10">
        <v>5494.34</v>
      </c>
      <c r="K230" s="10">
        <v>5786.39</v>
      </c>
      <c r="L230" s="10">
        <v>52.3</v>
      </c>
      <c r="M230" s="10">
        <v>12.5</v>
      </c>
      <c r="N230" s="10">
        <v>12882.4</v>
      </c>
      <c r="O230" s="10">
        <v>27.1139</v>
      </c>
      <c r="P230" s="10">
        <v>8855.06</v>
      </c>
      <c r="Q230" s="10">
        <v>10785.5</v>
      </c>
      <c r="R230" s="10">
        <v>1448.58</v>
      </c>
      <c r="S230" s="25">
        <v>327.36</v>
      </c>
      <c r="T230" s="10">
        <v>51.81374</v>
      </c>
      <c r="U230" s="26">
        <v>17.3099</v>
      </c>
      <c r="V230" s="26">
        <v>1072</v>
      </c>
      <c r="W230" s="27">
        <f t="shared" si="3"/>
        <v>1.61472947761194</v>
      </c>
      <c r="X230" s="27">
        <v>244719</v>
      </c>
      <c r="Y230" s="10">
        <v>278787</v>
      </c>
      <c r="Z230" s="10">
        <v>3822</v>
      </c>
      <c r="AA230" s="10">
        <v>146481</v>
      </c>
      <c r="AB230" s="10"/>
    </row>
    <row r="231" ht="21" spans="1:28">
      <c r="A231" s="10">
        <v>2020</v>
      </c>
      <c r="B231" s="10">
        <v>370000</v>
      </c>
      <c r="C231" s="24" t="s">
        <v>59</v>
      </c>
      <c r="D231" s="10">
        <v>39375</v>
      </c>
      <c r="E231" s="10">
        <v>6756.8</v>
      </c>
      <c r="F231" s="10">
        <v>58</v>
      </c>
      <c r="G231" s="10">
        <v>182</v>
      </c>
      <c r="H231" s="10">
        <v>1665.9</v>
      </c>
      <c r="I231" s="10">
        <v>25.099</v>
      </c>
      <c r="J231" s="10">
        <v>5911.88</v>
      </c>
      <c r="K231" s="10">
        <v>7198.8</v>
      </c>
      <c r="L231" s="10">
        <v>50</v>
      </c>
      <c r="M231" s="10">
        <v>12.6</v>
      </c>
      <c r="N231" s="10">
        <v>13819.8</v>
      </c>
      <c r="O231" s="10">
        <v>30</v>
      </c>
      <c r="P231" s="10">
        <v>8761.3</v>
      </c>
      <c r="Q231" s="10">
        <v>10907.1</v>
      </c>
      <c r="R231" s="10">
        <v>1451.27</v>
      </c>
      <c r="S231" s="25">
        <v>347.81</v>
      </c>
      <c r="T231" s="10">
        <v>93.37473</v>
      </c>
      <c r="U231" s="26">
        <v>19.8767</v>
      </c>
      <c r="V231" s="26">
        <v>1098.32</v>
      </c>
      <c r="W231" s="27">
        <f t="shared" si="3"/>
        <v>1.80973668876102</v>
      </c>
      <c r="X231" s="27">
        <v>274840</v>
      </c>
      <c r="Y231" s="10">
        <v>341159</v>
      </c>
      <c r="Z231" s="10">
        <v>5536</v>
      </c>
      <c r="AA231" s="10">
        <v>238778</v>
      </c>
      <c r="AB231" s="10"/>
    </row>
    <row r="232" ht="21" spans="1:28">
      <c r="A232" s="10">
        <v>2021</v>
      </c>
      <c r="B232" s="10">
        <v>370000</v>
      </c>
      <c r="C232" s="24" t="s">
        <v>59</v>
      </c>
      <c r="D232" s="10">
        <v>33452.4</v>
      </c>
      <c r="E232" s="10">
        <v>7036.98</v>
      </c>
      <c r="F232" s="10">
        <v>60.9165</v>
      </c>
      <c r="G232" s="10">
        <v>193.439</v>
      </c>
      <c r="H232" s="10">
        <v>1656.6</v>
      </c>
      <c r="I232" s="10">
        <v>28.9434</v>
      </c>
      <c r="J232" s="10">
        <v>7767.57</v>
      </c>
      <c r="K232" s="10">
        <v>1016.13</v>
      </c>
      <c r="L232" s="10">
        <v>47.3</v>
      </c>
      <c r="M232" s="10">
        <v>14.8</v>
      </c>
      <c r="N232" s="10">
        <v>17145.5</v>
      </c>
      <c r="O232" s="10">
        <v>31.8799</v>
      </c>
      <c r="P232" s="10">
        <v>9367.97</v>
      </c>
      <c r="Q232" s="10">
        <v>11248.5</v>
      </c>
      <c r="R232" s="10">
        <v>1442.99</v>
      </c>
      <c r="S232" s="25">
        <v>368.44</v>
      </c>
      <c r="T232" s="10">
        <v>92.67493</v>
      </c>
      <c r="U232" s="26">
        <v>20.959</v>
      </c>
      <c r="V232" s="26">
        <v>1108.25</v>
      </c>
      <c r="W232" s="27">
        <f t="shared" si="3"/>
        <v>1.89117978795398</v>
      </c>
      <c r="X232" s="27">
        <v>277063</v>
      </c>
      <c r="Y232" s="10">
        <v>447642</v>
      </c>
      <c r="Z232" s="10">
        <v>8434</v>
      </c>
      <c r="AA232" s="10">
        <v>329838</v>
      </c>
      <c r="AB232" s="10"/>
    </row>
    <row r="233" ht="21" spans="1:28">
      <c r="A233" s="10">
        <v>2022</v>
      </c>
      <c r="B233" s="10">
        <v>370000</v>
      </c>
      <c r="C233" s="24" t="s">
        <v>59</v>
      </c>
      <c r="D233" s="10">
        <v>35556.2</v>
      </c>
      <c r="E233" s="10">
        <v>7438.5</v>
      </c>
      <c r="F233" s="10">
        <v>64.6884</v>
      </c>
      <c r="G233" s="10">
        <v>173.126</v>
      </c>
      <c r="H233" s="10">
        <v>1678.38</v>
      </c>
      <c r="I233" s="10">
        <v>26.9527</v>
      </c>
      <c r="J233" s="10">
        <v>10610.4</v>
      </c>
      <c r="K233" s="10">
        <v>1098.69</v>
      </c>
      <c r="L233" s="10">
        <v>43.5</v>
      </c>
      <c r="M233" s="10">
        <v>12.822</v>
      </c>
      <c r="N233" s="10">
        <v>24263.8</v>
      </c>
      <c r="O233" s="10">
        <v>33.7506</v>
      </c>
      <c r="P233" s="10">
        <v>9770.61</v>
      </c>
      <c r="Q233" s="10">
        <v>11700.4</v>
      </c>
      <c r="R233" s="10">
        <v>1400.71</v>
      </c>
      <c r="S233" s="25">
        <v>389.83</v>
      </c>
      <c r="T233" s="10">
        <v>91.59139</v>
      </c>
      <c r="U233" s="26">
        <v>19.7099</v>
      </c>
      <c r="V233" s="26">
        <v>1081.47</v>
      </c>
      <c r="W233" s="27">
        <f t="shared" si="3"/>
        <v>1.82251010199081</v>
      </c>
      <c r="X233" s="27">
        <v>301424</v>
      </c>
      <c r="Y233" s="10">
        <v>514497</v>
      </c>
      <c r="Z233" s="10">
        <v>10859</v>
      </c>
      <c r="AA233" s="10">
        <v>342290</v>
      </c>
      <c r="AB233" s="10"/>
    </row>
    <row r="234" ht="21" spans="1:28">
      <c r="A234" s="10">
        <v>2023</v>
      </c>
      <c r="B234" s="10">
        <v>370000</v>
      </c>
      <c r="C234" s="24" t="s">
        <v>59</v>
      </c>
      <c r="D234" s="10">
        <v>36223</v>
      </c>
      <c r="E234" s="10">
        <v>7657.3</v>
      </c>
      <c r="F234" s="10">
        <v>71.4</v>
      </c>
      <c r="G234" s="10">
        <v>151.5</v>
      </c>
      <c r="H234" s="10">
        <v>1657.31</v>
      </c>
      <c r="I234" s="10">
        <v>25.7984</v>
      </c>
      <c r="J234" s="10">
        <v>12919.8</v>
      </c>
      <c r="K234" s="10">
        <v>1131.04</v>
      </c>
      <c r="L234" s="10">
        <v>42.1755</v>
      </c>
      <c r="M234" s="10">
        <v>19.0573</v>
      </c>
      <c r="N234" s="10">
        <v>33152.4</v>
      </c>
      <c r="O234" s="10">
        <v>33.6906</v>
      </c>
      <c r="P234" s="10">
        <v>10421.4</v>
      </c>
      <c r="Q234" s="10">
        <v>12139.3</v>
      </c>
      <c r="R234" s="10"/>
      <c r="S234" s="25">
        <v>411.59</v>
      </c>
      <c r="T234" s="10">
        <v>101.5082</v>
      </c>
      <c r="U234" s="26">
        <v>19.8719</v>
      </c>
      <c r="V234" s="26">
        <v>1077</v>
      </c>
      <c r="W234" s="27">
        <f t="shared" si="3"/>
        <v>1.84511606313835</v>
      </c>
      <c r="X234" s="27">
        <v>328062</v>
      </c>
      <c r="Y234" s="10">
        <v>580961</v>
      </c>
      <c r="Z234" s="10">
        <v>17176</v>
      </c>
      <c r="AA234" s="10">
        <v>273523</v>
      </c>
      <c r="AB234" s="10"/>
    </row>
    <row r="235" ht="21" spans="1:28">
      <c r="A235" s="10">
        <v>2013</v>
      </c>
      <c r="B235" s="10">
        <v>140000</v>
      </c>
      <c r="C235" s="24" t="s">
        <v>60</v>
      </c>
      <c r="D235" s="10">
        <v>36085</v>
      </c>
      <c r="E235" s="10">
        <v>881.7</v>
      </c>
      <c r="F235" s="10">
        <v>7.4305</v>
      </c>
      <c r="G235" s="10">
        <v>8.1775</v>
      </c>
      <c r="H235" s="10">
        <v>467.456</v>
      </c>
      <c r="I235" s="10">
        <v>3.4628</v>
      </c>
      <c r="J235" s="10">
        <v>27.7592</v>
      </c>
      <c r="K235" s="10">
        <v>358.161</v>
      </c>
      <c r="L235" s="10">
        <v>43.1791</v>
      </c>
      <c r="M235" s="10">
        <v>1.76195</v>
      </c>
      <c r="N235" s="10">
        <v>315.305</v>
      </c>
      <c r="O235" s="10">
        <v>15.789</v>
      </c>
      <c r="P235" s="10"/>
      <c r="Q235" s="10">
        <v>3105.5</v>
      </c>
      <c r="R235" s="10">
        <v>344.65</v>
      </c>
      <c r="S235" s="25">
        <v>144.22</v>
      </c>
      <c r="T235" s="10">
        <v>0.61962</v>
      </c>
      <c r="U235" s="26">
        <v>6.0181</v>
      </c>
      <c r="V235" s="26">
        <v>464.039</v>
      </c>
      <c r="W235" s="27">
        <f t="shared" si="3"/>
        <v>1.29689530405849</v>
      </c>
      <c r="X235" s="27">
        <v>76375</v>
      </c>
      <c r="Y235" s="10">
        <v>49035.3</v>
      </c>
      <c r="Z235" s="10">
        <v>240</v>
      </c>
      <c r="AA235" s="10">
        <v>8565</v>
      </c>
      <c r="AB235" s="10"/>
    </row>
    <row r="236" ht="21" spans="1:28">
      <c r="A236" s="10">
        <v>2014</v>
      </c>
      <c r="B236" s="10">
        <v>140000</v>
      </c>
      <c r="C236" s="24" t="s">
        <v>60</v>
      </c>
      <c r="D236" s="10">
        <v>29809.1</v>
      </c>
      <c r="E236" s="10">
        <v>996.79</v>
      </c>
      <c r="F236" s="10">
        <v>10.9</v>
      </c>
      <c r="G236" s="10">
        <v>13.1922</v>
      </c>
      <c r="H236" s="10">
        <v>428.265</v>
      </c>
      <c r="I236" s="10">
        <v>3.6039</v>
      </c>
      <c r="J236" s="10">
        <v>22.7374</v>
      </c>
      <c r="K236" s="10">
        <v>394.57</v>
      </c>
      <c r="L236" s="10">
        <v>46.8403</v>
      </c>
      <c r="M236" s="10">
        <v>3.68693</v>
      </c>
      <c r="N236" s="10">
        <v>506.896</v>
      </c>
      <c r="O236" s="10">
        <v>18.2673</v>
      </c>
      <c r="P236" s="10">
        <v>1917.14</v>
      </c>
      <c r="Q236" s="10">
        <v>3332.33</v>
      </c>
      <c r="R236" s="10">
        <v>367.972</v>
      </c>
      <c r="S236" s="25">
        <v>167.66</v>
      </c>
      <c r="T236" s="10">
        <v>0.7534853</v>
      </c>
      <c r="U236" s="26">
        <v>5.4986</v>
      </c>
      <c r="V236" s="26">
        <v>452.095</v>
      </c>
      <c r="W236" s="27">
        <f t="shared" si="3"/>
        <v>1.21624879726606</v>
      </c>
      <c r="X236" s="27">
        <v>85406</v>
      </c>
      <c r="Y236" s="10">
        <v>48955</v>
      </c>
      <c r="Z236" s="10">
        <v>254</v>
      </c>
      <c r="AA236" s="10">
        <v>8371</v>
      </c>
      <c r="AB236" s="10"/>
    </row>
    <row r="237" ht="21" spans="1:28">
      <c r="A237" s="10">
        <v>2015</v>
      </c>
      <c r="B237" s="10">
        <v>140000</v>
      </c>
      <c r="C237" s="24" t="s">
        <v>60</v>
      </c>
      <c r="D237" s="10">
        <v>30891</v>
      </c>
      <c r="E237" s="10">
        <v>1345.88</v>
      </c>
      <c r="F237" s="10">
        <v>13.3592</v>
      </c>
      <c r="G237" s="10">
        <v>21.5</v>
      </c>
      <c r="H237" s="10"/>
      <c r="I237" s="10">
        <v>5</v>
      </c>
      <c r="J237" s="10">
        <v>24.1541</v>
      </c>
      <c r="K237" s="10">
        <v>472.8</v>
      </c>
      <c r="L237" s="10">
        <v>46</v>
      </c>
      <c r="M237" s="10">
        <v>6.1</v>
      </c>
      <c r="N237" s="10">
        <v>676.702</v>
      </c>
      <c r="O237" s="10">
        <v>19.0535</v>
      </c>
      <c r="P237" s="10">
        <v>2162.22</v>
      </c>
      <c r="Q237" s="10">
        <v>3241.39</v>
      </c>
      <c r="R237" s="10">
        <v>382.398</v>
      </c>
      <c r="S237" s="25">
        <v>206.3</v>
      </c>
      <c r="T237" s="10">
        <v>0.9344109</v>
      </c>
      <c r="U237" s="26">
        <v>5.5397</v>
      </c>
      <c r="V237" s="26">
        <v>440.267</v>
      </c>
      <c r="W237" s="27">
        <f t="shared" si="3"/>
        <v>1.25825919271715</v>
      </c>
      <c r="X237" s="27">
        <v>91445</v>
      </c>
      <c r="Y237" s="10">
        <v>42872.5</v>
      </c>
      <c r="Z237" s="10">
        <v>243</v>
      </c>
      <c r="AA237" s="10">
        <v>10020</v>
      </c>
      <c r="AB237" s="10"/>
    </row>
    <row r="238" ht="21" spans="1:28">
      <c r="A238" s="10">
        <v>2016</v>
      </c>
      <c r="B238" s="10">
        <v>140000</v>
      </c>
      <c r="C238" s="24" t="s">
        <v>60</v>
      </c>
      <c r="D238" s="10">
        <v>31628.9</v>
      </c>
      <c r="E238" s="10">
        <v>1582.89</v>
      </c>
      <c r="F238" s="10">
        <v>16.4417</v>
      </c>
      <c r="G238" s="10">
        <v>23.9006</v>
      </c>
      <c r="H238" s="10"/>
      <c r="I238" s="10">
        <v>5.3249</v>
      </c>
      <c r="J238" s="10">
        <v>23.9172</v>
      </c>
      <c r="K238" s="10">
        <v>328.73</v>
      </c>
      <c r="L238" s="10">
        <v>45.1</v>
      </c>
      <c r="M238" s="10">
        <v>8.1</v>
      </c>
      <c r="N238" s="10">
        <v>680.313</v>
      </c>
      <c r="O238" s="10">
        <v>20.7639</v>
      </c>
      <c r="P238" s="10">
        <v>2485.33</v>
      </c>
      <c r="Q238" s="10">
        <v>3365.74</v>
      </c>
      <c r="R238" s="10">
        <v>358.83</v>
      </c>
      <c r="S238" s="25">
        <v>224.81</v>
      </c>
      <c r="T238" s="10">
        <v>1.725077</v>
      </c>
      <c r="U238" s="26">
        <v>4.969</v>
      </c>
      <c r="V238" s="26">
        <v>430.552</v>
      </c>
      <c r="W238" s="27">
        <f t="shared" si="3"/>
        <v>1.15409985321169</v>
      </c>
      <c r="X238" s="27">
        <v>101534</v>
      </c>
      <c r="Y238" s="10">
        <v>44146.7</v>
      </c>
      <c r="Z238" s="10">
        <v>323</v>
      </c>
      <c r="AA238" s="10">
        <v>10062</v>
      </c>
      <c r="AB238" s="10"/>
    </row>
    <row r="239" ht="21" spans="1:28">
      <c r="A239" s="10">
        <v>2017</v>
      </c>
      <c r="B239" s="10">
        <v>140000</v>
      </c>
      <c r="C239" s="24" t="s">
        <v>60</v>
      </c>
      <c r="D239" s="10">
        <v>32439.6</v>
      </c>
      <c r="E239" s="10">
        <v>1840.12</v>
      </c>
      <c r="F239" s="10">
        <v>18.5415</v>
      </c>
      <c r="G239" s="10">
        <v>24.4481</v>
      </c>
      <c r="H239" s="10">
        <v>433.542</v>
      </c>
      <c r="I239" s="10">
        <v>5.4983</v>
      </c>
      <c r="J239" s="10">
        <v>29.8862</v>
      </c>
      <c r="K239" s="10">
        <v>584.214</v>
      </c>
      <c r="L239" s="10">
        <v>42</v>
      </c>
      <c r="M239" s="10">
        <v>6.5</v>
      </c>
      <c r="N239" s="10">
        <v>864.3</v>
      </c>
      <c r="O239" s="10">
        <v>21.5732</v>
      </c>
      <c r="P239" s="10">
        <v>2956.15</v>
      </c>
      <c r="Q239" s="10">
        <v>3647.91</v>
      </c>
      <c r="R239" s="10">
        <v>346.79</v>
      </c>
      <c r="S239" s="25">
        <v>259.95</v>
      </c>
      <c r="T239" s="10">
        <v>3.870497</v>
      </c>
      <c r="U239" s="26">
        <v>4.8649</v>
      </c>
      <c r="V239" s="26">
        <v>428.68</v>
      </c>
      <c r="W239" s="27">
        <f t="shared" si="3"/>
        <v>1.13485583652141</v>
      </c>
      <c r="X239" s="27">
        <v>113275</v>
      </c>
      <c r="Y239" s="10">
        <v>47694</v>
      </c>
      <c r="Z239" s="10">
        <v>378</v>
      </c>
      <c r="AA239" s="10">
        <v>11311</v>
      </c>
      <c r="AB239" s="10"/>
    </row>
    <row r="240" ht="21" spans="1:28">
      <c r="A240" s="10">
        <v>2018</v>
      </c>
      <c r="B240" s="10">
        <v>140000</v>
      </c>
      <c r="C240" s="24" t="s">
        <v>60</v>
      </c>
      <c r="D240" s="10">
        <v>30060.2</v>
      </c>
      <c r="E240" s="10">
        <v>1989.15</v>
      </c>
      <c r="F240" s="10">
        <v>18.9995</v>
      </c>
      <c r="G240" s="10">
        <v>107.561</v>
      </c>
      <c r="H240" s="10">
        <v>433.823</v>
      </c>
      <c r="I240" s="10">
        <v>5.7058</v>
      </c>
      <c r="J240" s="10">
        <v>28.6992</v>
      </c>
      <c r="K240" s="10">
        <v>1372.93</v>
      </c>
      <c r="L240" s="10">
        <v>39</v>
      </c>
      <c r="M240" s="10">
        <v>6.25897</v>
      </c>
      <c r="N240" s="10">
        <v>2450.22</v>
      </c>
      <c r="O240" s="10">
        <v>22.8315</v>
      </c>
      <c r="P240" s="10">
        <v>3086.33</v>
      </c>
      <c r="Q240" s="10">
        <v>3961.54</v>
      </c>
      <c r="R240" s="10">
        <v>311.81</v>
      </c>
      <c r="S240" s="25">
        <v>283.65</v>
      </c>
      <c r="T240" s="10">
        <v>4.334874</v>
      </c>
      <c r="U240" s="26">
        <v>4.8734</v>
      </c>
      <c r="V240" s="26">
        <v>425.825</v>
      </c>
      <c r="W240" s="27">
        <f t="shared" si="3"/>
        <v>1.14446075265661</v>
      </c>
      <c r="X240" s="27">
        <v>117525</v>
      </c>
      <c r="Y240" s="10">
        <v>44592.6</v>
      </c>
      <c r="Z240" s="10">
        <v>398</v>
      </c>
      <c r="AA240" s="10">
        <v>15060</v>
      </c>
      <c r="AB240" s="10"/>
    </row>
    <row r="241" ht="21" spans="1:28">
      <c r="A241" s="10">
        <v>2019</v>
      </c>
      <c r="B241" s="10">
        <v>140000</v>
      </c>
      <c r="C241" s="24" t="s">
        <v>60</v>
      </c>
      <c r="D241" s="10">
        <v>31078.8</v>
      </c>
      <c r="E241" s="10">
        <v>2148.19</v>
      </c>
      <c r="F241" s="10">
        <v>23.0439</v>
      </c>
      <c r="G241" s="10">
        <v>82.0642</v>
      </c>
      <c r="H241" s="10">
        <v>434.039</v>
      </c>
      <c r="I241" s="10">
        <v>4.9641</v>
      </c>
      <c r="J241" s="10">
        <v>48.9207</v>
      </c>
      <c r="K241" s="10">
        <v>2375.2</v>
      </c>
      <c r="L241" s="10">
        <v>34</v>
      </c>
      <c r="M241" s="10">
        <v>6</v>
      </c>
      <c r="N241" s="10">
        <v>2136.67</v>
      </c>
      <c r="O241" s="10">
        <v>24.4372</v>
      </c>
      <c r="P241" s="10">
        <v>3142.31</v>
      </c>
      <c r="Q241" s="10">
        <v>3987.22</v>
      </c>
      <c r="R241" s="10">
        <v>300.52</v>
      </c>
      <c r="S241" s="25">
        <v>308.73</v>
      </c>
      <c r="T241" s="10">
        <v>6.976688</v>
      </c>
      <c r="U241" s="26">
        <v>5.2343</v>
      </c>
      <c r="V241" s="26">
        <v>441.069</v>
      </c>
      <c r="W241" s="27">
        <f t="shared" si="3"/>
        <v>1.18673042086386</v>
      </c>
      <c r="X241" s="27">
        <v>121113</v>
      </c>
      <c r="Y241" s="10">
        <v>46852.6</v>
      </c>
      <c r="Z241" s="10">
        <v>486</v>
      </c>
      <c r="AA241" s="10">
        <v>16598</v>
      </c>
      <c r="AB241" s="10"/>
    </row>
    <row r="242" ht="21" spans="1:28">
      <c r="A242" s="10">
        <v>2020</v>
      </c>
      <c r="B242" s="10">
        <v>140000</v>
      </c>
      <c r="C242" s="24" t="s">
        <v>60</v>
      </c>
      <c r="D242" s="10">
        <v>32154</v>
      </c>
      <c r="E242" s="10">
        <v>2322.3</v>
      </c>
      <c r="F242" s="10">
        <v>26</v>
      </c>
      <c r="G242" s="10">
        <v>82.8</v>
      </c>
      <c r="H242" s="10">
        <v>436.1</v>
      </c>
      <c r="I242" s="10">
        <v>4.2224</v>
      </c>
      <c r="J242" s="10">
        <v>69.3</v>
      </c>
      <c r="K242" s="10">
        <v>3091.7</v>
      </c>
      <c r="L242" s="10">
        <v>32</v>
      </c>
      <c r="M242" s="10">
        <v>6.5</v>
      </c>
      <c r="N242" s="10">
        <v>2322.6</v>
      </c>
      <c r="O242" s="10">
        <v>26</v>
      </c>
      <c r="P242" s="10">
        <v>3266.3</v>
      </c>
      <c r="Q242" s="10">
        <v>4022.8</v>
      </c>
      <c r="R242" s="10">
        <v>345.01</v>
      </c>
      <c r="S242" s="25">
        <v>325.73</v>
      </c>
      <c r="T242" s="10">
        <v>11.22412</v>
      </c>
      <c r="U242" s="26">
        <v>5.2083</v>
      </c>
      <c r="V242" s="26">
        <v>442.598</v>
      </c>
      <c r="W242" s="27">
        <f t="shared" si="3"/>
        <v>1.17675633419039</v>
      </c>
      <c r="X242" s="27">
        <v>129035</v>
      </c>
      <c r="Y242" s="10">
        <v>52394.1</v>
      </c>
      <c r="Z242" s="10">
        <v>1092</v>
      </c>
      <c r="AA242" s="10">
        <v>27296</v>
      </c>
      <c r="AB242" s="10"/>
    </row>
    <row r="243" ht="21" spans="1:28">
      <c r="A243" s="10">
        <v>2021</v>
      </c>
      <c r="B243" s="10">
        <v>140000</v>
      </c>
      <c r="C243" s="24" t="s">
        <v>60</v>
      </c>
      <c r="D243" s="10">
        <v>32693.2</v>
      </c>
      <c r="E243" s="10">
        <v>2478.67</v>
      </c>
      <c r="F243" s="10">
        <v>28.4906</v>
      </c>
      <c r="G243" s="10">
        <v>34.9239</v>
      </c>
      <c r="H243" s="10">
        <v>432.416</v>
      </c>
      <c r="I243" s="10">
        <v>5.3497</v>
      </c>
      <c r="J243" s="10">
        <v>70.9445</v>
      </c>
      <c r="K243" s="10">
        <v>374.63</v>
      </c>
      <c r="L243" s="10">
        <v>29.5</v>
      </c>
      <c r="M243" s="10">
        <v>6.6</v>
      </c>
      <c r="N243" s="10">
        <v>3420.83</v>
      </c>
      <c r="O243" s="10">
        <v>26.756</v>
      </c>
      <c r="P243" s="10">
        <v>3325.81</v>
      </c>
      <c r="Q243" s="10">
        <v>4126.02</v>
      </c>
      <c r="R243" s="10">
        <v>332.67</v>
      </c>
      <c r="S243" s="25">
        <v>342.91</v>
      </c>
      <c r="T243" s="10">
        <v>10.16895</v>
      </c>
      <c r="U243" s="26">
        <v>4.9541</v>
      </c>
      <c r="V243" s="26">
        <v>442.884</v>
      </c>
      <c r="W243" s="27">
        <f t="shared" si="3"/>
        <v>1.11859990426387</v>
      </c>
      <c r="X243" s="27">
        <v>132905</v>
      </c>
      <c r="Y243" s="10">
        <v>57228.1</v>
      </c>
      <c r="Z243" s="10">
        <v>1413</v>
      </c>
      <c r="AA243" s="10">
        <v>37379</v>
      </c>
      <c r="AB243" s="10"/>
    </row>
    <row r="244" ht="21" spans="1:28">
      <c r="A244" s="10">
        <v>2022</v>
      </c>
      <c r="B244" s="10">
        <v>140000</v>
      </c>
      <c r="C244" s="24" t="s">
        <v>60</v>
      </c>
      <c r="D244" s="10">
        <v>33698.6</v>
      </c>
      <c r="E244" s="10">
        <v>2760.16</v>
      </c>
      <c r="F244" s="10">
        <v>30.093</v>
      </c>
      <c r="G244" s="10">
        <v>30.8437</v>
      </c>
      <c r="H244" s="10">
        <v>439.331</v>
      </c>
      <c r="I244" s="10">
        <v>4.5036</v>
      </c>
      <c r="J244" s="10">
        <v>72.3336</v>
      </c>
      <c r="K244" s="10">
        <v>360.063</v>
      </c>
      <c r="L244" s="10">
        <v>24.8</v>
      </c>
      <c r="M244" s="10">
        <v>5.81138</v>
      </c>
      <c r="N244" s="10">
        <v>5629.41</v>
      </c>
      <c r="O244" s="10">
        <v>27.5373</v>
      </c>
      <c r="P244" s="10">
        <v>3463.32</v>
      </c>
      <c r="Q244" s="10">
        <v>4141.01</v>
      </c>
      <c r="R244" s="10">
        <v>322.769</v>
      </c>
      <c r="S244" s="25">
        <v>360.25</v>
      </c>
      <c r="T244" s="10">
        <v>10.87598</v>
      </c>
      <c r="U244" s="26">
        <v>5.1323</v>
      </c>
      <c r="V244" s="26">
        <v>438.26</v>
      </c>
      <c r="W244" s="27">
        <f t="shared" si="3"/>
        <v>1.1710628394104</v>
      </c>
      <c r="X244" s="27">
        <v>136315</v>
      </c>
      <c r="Y244" s="10">
        <v>62218.7</v>
      </c>
      <c r="Z244" s="10">
        <v>1484</v>
      </c>
      <c r="AA244" s="10">
        <v>33068</v>
      </c>
      <c r="AB244" s="10"/>
    </row>
    <row r="245" ht="21" spans="1:28">
      <c r="A245" s="10">
        <v>2023</v>
      </c>
      <c r="B245" s="10">
        <v>140000</v>
      </c>
      <c r="C245" s="24" t="s">
        <v>60</v>
      </c>
      <c r="D245" s="10">
        <v>35555</v>
      </c>
      <c r="E245" s="10">
        <v>2828.3</v>
      </c>
      <c r="F245" s="10">
        <v>32.9</v>
      </c>
      <c r="G245" s="10">
        <v>34.8</v>
      </c>
      <c r="H245" s="10">
        <v>432.342</v>
      </c>
      <c r="I245" s="10">
        <v>4.4677</v>
      </c>
      <c r="J245" s="10">
        <v>112.46</v>
      </c>
      <c r="K245" s="10">
        <v>363.57</v>
      </c>
      <c r="L245" s="10">
        <v>19.5021</v>
      </c>
      <c r="M245" s="10">
        <v>8.51894</v>
      </c>
      <c r="N245" s="10">
        <v>6351.19</v>
      </c>
      <c r="O245" s="10">
        <v>29.4051</v>
      </c>
      <c r="P245" s="10">
        <v>3721.2</v>
      </c>
      <c r="Q245" s="10">
        <v>4228.7</v>
      </c>
      <c r="R245" s="10"/>
      <c r="S245" s="25">
        <v>378.15</v>
      </c>
      <c r="T245" s="10">
        <v>13.9796</v>
      </c>
      <c r="U245" s="26">
        <v>4.9404</v>
      </c>
      <c r="V245" s="26">
        <v>434.792</v>
      </c>
      <c r="W245" s="27">
        <f t="shared" si="3"/>
        <v>1.13626745662294</v>
      </c>
      <c r="X245" s="27">
        <v>138436</v>
      </c>
      <c r="Y245" s="10">
        <v>67920.5</v>
      </c>
      <c r="Z245" s="10">
        <v>1326</v>
      </c>
      <c r="AA245" s="10">
        <v>28463</v>
      </c>
      <c r="AB245" s="10"/>
    </row>
    <row r="246" ht="21" spans="1:28">
      <c r="A246" s="10">
        <v>2013</v>
      </c>
      <c r="B246" s="10">
        <v>610000</v>
      </c>
      <c r="C246" s="24" t="s">
        <v>61</v>
      </c>
      <c r="D246" s="10">
        <v>28394</v>
      </c>
      <c r="E246" s="10">
        <v>940.9</v>
      </c>
      <c r="F246" s="10">
        <v>7.6667</v>
      </c>
      <c r="G246" s="10">
        <v>13.208</v>
      </c>
      <c r="H246" s="10">
        <v>347.264</v>
      </c>
      <c r="I246" s="10">
        <v>3.7467</v>
      </c>
      <c r="J246" s="10">
        <v>688.31</v>
      </c>
      <c r="K246" s="10">
        <v>440.814</v>
      </c>
      <c r="L246" s="10">
        <v>55.5411</v>
      </c>
      <c r="M246" s="10">
        <v>2.70188</v>
      </c>
      <c r="N246" s="10">
        <v>552.095</v>
      </c>
      <c r="O246" s="10">
        <v>19.6547</v>
      </c>
      <c r="P246" s="10"/>
      <c r="Q246" s="10">
        <v>3512.5</v>
      </c>
      <c r="R246" s="10">
        <v>526.26</v>
      </c>
      <c r="S246" s="25">
        <v>148.37</v>
      </c>
      <c r="T246" s="10">
        <v>5.036118</v>
      </c>
      <c r="U246" s="26">
        <v>9.4705</v>
      </c>
      <c r="V246" s="26">
        <v>505.333</v>
      </c>
      <c r="W246" s="27">
        <f t="shared" si="3"/>
        <v>1.87411073490154</v>
      </c>
      <c r="X246" s="27">
        <v>136062</v>
      </c>
      <c r="Y246" s="10">
        <v>93493.5</v>
      </c>
      <c r="Z246" s="10">
        <v>558</v>
      </c>
      <c r="AA246" s="10">
        <v>20836</v>
      </c>
      <c r="AB246" s="10"/>
    </row>
    <row r="247" ht="21" spans="1:28">
      <c r="A247" s="10">
        <v>2014</v>
      </c>
      <c r="B247" s="10">
        <v>610000</v>
      </c>
      <c r="C247" s="24" t="s">
        <v>61</v>
      </c>
      <c r="D247" s="10">
        <v>28925.9</v>
      </c>
      <c r="E247" s="10">
        <v>1070.41</v>
      </c>
      <c r="F247" s="10">
        <v>11.8</v>
      </c>
      <c r="G247" s="10">
        <v>20.2147</v>
      </c>
      <c r="H247" s="10">
        <v>547.781</v>
      </c>
      <c r="I247" s="10">
        <v>3.7911</v>
      </c>
      <c r="J247" s="10">
        <v>886.438</v>
      </c>
      <c r="K247" s="10">
        <v>520.66</v>
      </c>
      <c r="L247" s="10">
        <v>60.5637</v>
      </c>
      <c r="M247" s="10">
        <v>5.34366</v>
      </c>
      <c r="N247" s="10">
        <v>824.535</v>
      </c>
      <c r="O247" s="10">
        <v>21.7185</v>
      </c>
      <c r="P247" s="10">
        <v>2638.2</v>
      </c>
      <c r="Q247" s="10">
        <v>3607.21</v>
      </c>
      <c r="R247" s="10">
        <v>501.305</v>
      </c>
      <c r="S247" s="25">
        <v>178.73</v>
      </c>
      <c r="T247" s="10">
        <v>5.091978</v>
      </c>
      <c r="U247" s="26">
        <v>10.3733</v>
      </c>
      <c r="V247" s="26">
        <v>516.516</v>
      </c>
      <c r="W247" s="27">
        <f t="shared" si="3"/>
        <v>2.00832113622811</v>
      </c>
      <c r="X247" s="27">
        <v>150931</v>
      </c>
      <c r="Y247" s="10">
        <v>97138</v>
      </c>
      <c r="Z247" s="10">
        <v>574</v>
      </c>
      <c r="AA247" s="10">
        <v>22820</v>
      </c>
      <c r="AB247" s="10"/>
    </row>
    <row r="248" ht="21" spans="1:28">
      <c r="A248" s="10">
        <v>2015</v>
      </c>
      <c r="B248" s="10">
        <v>610000</v>
      </c>
      <c r="C248" s="24" t="s">
        <v>61</v>
      </c>
      <c r="D248" s="10">
        <v>29199</v>
      </c>
      <c r="E248" s="10">
        <v>1539.33</v>
      </c>
      <c r="F248" s="10">
        <v>13.6595</v>
      </c>
      <c r="G248" s="10">
        <v>32.5</v>
      </c>
      <c r="H248" s="10"/>
      <c r="I248" s="10">
        <v>4.9</v>
      </c>
      <c r="J248" s="10">
        <v>1139.74</v>
      </c>
      <c r="K248" s="10">
        <v>699.49</v>
      </c>
      <c r="L248" s="10">
        <v>59</v>
      </c>
      <c r="M248" s="10">
        <v>8.4</v>
      </c>
      <c r="N248" s="10">
        <v>925.423</v>
      </c>
      <c r="O248" s="10">
        <v>23.5927</v>
      </c>
      <c r="P248" s="10">
        <v>2780.52</v>
      </c>
      <c r="Q248" s="10">
        <v>3567.07</v>
      </c>
      <c r="R248" s="10">
        <v>543.28</v>
      </c>
      <c r="S248" s="25">
        <v>216.12</v>
      </c>
      <c r="T248" s="10">
        <v>5.272748</v>
      </c>
      <c r="U248" s="26">
        <v>10.2252</v>
      </c>
      <c r="V248" s="26">
        <v>511.836</v>
      </c>
      <c r="W248" s="27">
        <f t="shared" si="3"/>
        <v>1.99774927906595</v>
      </c>
      <c r="X248" s="27">
        <v>167256</v>
      </c>
      <c r="Y248" s="10">
        <v>92617.9</v>
      </c>
      <c r="Z248" s="10">
        <v>552</v>
      </c>
      <c r="AA248" s="10">
        <v>33350</v>
      </c>
      <c r="AB248" s="10"/>
    </row>
    <row r="249" ht="21" spans="1:28">
      <c r="A249" s="10">
        <v>2016</v>
      </c>
      <c r="B249" s="10">
        <v>610000</v>
      </c>
      <c r="C249" s="24" t="s">
        <v>61</v>
      </c>
      <c r="D249" s="10">
        <v>29949.4</v>
      </c>
      <c r="E249" s="10">
        <v>2083.06</v>
      </c>
      <c r="F249" s="10">
        <v>16.567</v>
      </c>
      <c r="G249" s="10">
        <v>43.08</v>
      </c>
      <c r="H249" s="10"/>
      <c r="I249" s="10">
        <v>5.88</v>
      </c>
      <c r="J249" s="10">
        <v>1300.2</v>
      </c>
      <c r="K249" s="10">
        <v>464.99</v>
      </c>
      <c r="L249" s="10">
        <v>56.4</v>
      </c>
      <c r="M249" s="10">
        <v>12.2</v>
      </c>
      <c r="N249" s="10">
        <v>1047.54</v>
      </c>
      <c r="O249" s="10">
        <v>26.2819</v>
      </c>
      <c r="P249" s="10">
        <v>3384.76</v>
      </c>
      <c r="Q249" s="10">
        <v>3813.29</v>
      </c>
      <c r="R249" s="10">
        <v>598.29</v>
      </c>
      <c r="S249" s="25">
        <v>229.37</v>
      </c>
      <c r="T249" s="10">
        <v>10.3867</v>
      </c>
      <c r="U249" s="26">
        <v>11.1536</v>
      </c>
      <c r="V249" s="26">
        <v>511.388</v>
      </c>
      <c r="W249" s="27">
        <f t="shared" si="3"/>
        <v>2.18104452978951</v>
      </c>
      <c r="X249" s="27">
        <v>183804</v>
      </c>
      <c r="Y249" s="10">
        <v>94755.4</v>
      </c>
      <c r="Z249" s="10">
        <v>626</v>
      </c>
      <c r="AA249" s="10">
        <v>48455</v>
      </c>
      <c r="AB249" s="10"/>
    </row>
    <row r="250" ht="21" spans="1:28">
      <c r="A250" s="10">
        <v>2017</v>
      </c>
      <c r="B250" s="10">
        <v>610000</v>
      </c>
      <c r="C250" s="24" t="s">
        <v>61</v>
      </c>
      <c r="D250" s="10">
        <v>30812.6</v>
      </c>
      <c r="E250" s="10">
        <v>1993.18</v>
      </c>
      <c r="F250" s="10">
        <v>20.0007</v>
      </c>
      <c r="G250" s="10">
        <v>39.6283</v>
      </c>
      <c r="H250" s="10">
        <v>552.089</v>
      </c>
      <c r="I250" s="10">
        <v>6.8675</v>
      </c>
      <c r="J250" s="10">
        <v>1593.6</v>
      </c>
      <c r="K250" s="10">
        <v>836.002</v>
      </c>
      <c r="L250" s="10">
        <v>55</v>
      </c>
      <c r="M250" s="10">
        <v>11</v>
      </c>
      <c r="N250" s="10">
        <v>1213.67</v>
      </c>
      <c r="O250" s="10">
        <v>29.5347</v>
      </c>
      <c r="P250" s="10">
        <v>3668.28</v>
      </c>
      <c r="Q250" s="10">
        <v>4220.61</v>
      </c>
      <c r="R250" s="10">
        <v>690.1</v>
      </c>
      <c r="S250" s="25">
        <v>266.85</v>
      </c>
      <c r="T250" s="10">
        <v>22.0553</v>
      </c>
      <c r="U250" s="26">
        <v>11.5752</v>
      </c>
      <c r="V250" s="26">
        <v>510.388</v>
      </c>
      <c r="W250" s="27">
        <f t="shared" si="3"/>
        <v>2.26792165960015</v>
      </c>
      <c r="X250" s="27">
        <v>172708</v>
      </c>
      <c r="Y250" s="10">
        <v>98188</v>
      </c>
      <c r="Z250" s="10">
        <v>652</v>
      </c>
      <c r="AA250" s="10">
        <v>34554</v>
      </c>
      <c r="AB250" s="10"/>
    </row>
    <row r="251" ht="21" spans="1:28">
      <c r="A251" s="10">
        <v>2018</v>
      </c>
      <c r="B251" s="10">
        <v>610000</v>
      </c>
      <c r="C251" s="24" t="s">
        <v>61</v>
      </c>
      <c r="D251" s="10">
        <v>27973.5</v>
      </c>
      <c r="E251" s="10">
        <v>2239.57</v>
      </c>
      <c r="F251" s="10">
        <v>20.9213</v>
      </c>
      <c r="G251" s="10">
        <v>52.9594</v>
      </c>
      <c r="H251" s="10">
        <v>552.447</v>
      </c>
      <c r="I251" s="10">
        <v>7.3735</v>
      </c>
      <c r="J251" s="10">
        <v>1994.89</v>
      </c>
      <c r="K251" s="10">
        <v>2215.91</v>
      </c>
      <c r="L251" s="10">
        <v>52</v>
      </c>
      <c r="M251" s="10">
        <v>10.9422</v>
      </c>
      <c r="N251" s="10">
        <v>1820.3</v>
      </c>
      <c r="O251" s="10">
        <v>31.6148</v>
      </c>
      <c r="P251" s="10">
        <v>3726.81</v>
      </c>
      <c r="Q251" s="10">
        <v>4688.62</v>
      </c>
      <c r="R251" s="10">
        <v>730.75</v>
      </c>
      <c r="S251" s="25">
        <v>295.95</v>
      </c>
      <c r="T251" s="10">
        <v>22.45246</v>
      </c>
      <c r="U251" s="26">
        <v>12.7107</v>
      </c>
      <c r="V251" s="26">
        <v>493.165</v>
      </c>
      <c r="W251" s="27">
        <f t="shared" si="3"/>
        <v>2.57737268459846</v>
      </c>
      <c r="X251" s="27">
        <v>169633</v>
      </c>
      <c r="Y251" s="10">
        <v>96709.5</v>
      </c>
      <c r="Z251" s="10">
        <v>519</v>
      </c>
      <c r="AA251" s="10">
        <v>41479</v>
      </c>
      <c r="AB251" s="10"/>
    </row>
    <row r="252" ht="21" spans="1:28">
      <c r="A252" s="10">
        <v>2019</v>
      </c>
      <c r="B252" s="10">
        <v>610000</v>
      </c>
      <c r="C252" s="24" t="s">
        <v>61</v>
      </c>
      <c r="D252" s="10">
        <v>32564.3</v>
      </c>
      <c r="E252" s="10">
        <v>2322.68</v>
      </c>
      <c r="F252" s="10">
        <v>25.6499</v>
      </c>
      <c r="G252" s="10">
        <v>107.409</v>
      </c>
      <c r="H252" s="10">
        <v>552.722</v>
      </c>
      <c r="I252" s="10">
        <v>8.4687</v>
      </c>
      <c r="J252" s="10">
        <v>2869.32</v>
      </c>
      <c r="K252" s="10">
        <v>3366.91</v>
      </c>
      <c r="L252" s="10">
        <v>48.3</v>
      </c>
      <c r="M252" s="10">
        <v>11</v>
      </c>
      <c r="N252" s="10">
        <v>1994.32</v>
      </c>
      <c r="O252" s="10">
        <v>34.0422</v>
      </c>
      <c r="P252" s="10">
        <v>3839.85</v>
      </c>
      <c r="Q252" s="10">
        <v>4640.5</v>
      </c>
      <c r="R252" s="10">
        <v>745.76</v>
      </c>
      <c r="S252" s="25">
        <v>322.89</v>
      </c>
      <c r="T252" s="10">
        <v>30.99237</v>
      </c>
      <c r="U252" s="26">
        <v>13.3833</v>
      </c>
      <c r="V252" s="26">
        <v>501.309</v>
      </c>
      <c r="W252" s="27">
        <f t="shared" si="3"/>
        <v>2.66967080184078</v>
      </c>
      <c r="X252" s="27">
        <v>160501</v>
      </c>
      <c r="Y252" s="10">
        <v>115319</v>
      </c>
      <c r="Z252" s="10">
        <v>623</v>
      </c>
      <c r="AA252" s="10">
        <v>44101</v>
      </c>
      <c r="AB252" s="10"/>
    </row>
    <row r="253" ht="21" spans="1:28">
      <c r="A253" s="10">
        <v>2020</v>
      </c>
      <c r="B253" s="10">
        <v>610000</v>
      </c>
      <c r="C253" s="24" t="s">
        <v>61</v>
      </c>
      <c r="D253" s="10">
        <v>40257</v>
      </c>
      <c r="E253" s="10">
        <v>2576.5</v>
      </c>
      <c r="F253" s="10">
        <v>29.2</v>
      </c>
      <c r="G253" s="10">
        <v>98.7</v>
      </c>
      <c r="H253" s="10">
        <v>555.3</v>
      </c>
      <c r="I253" s="10">
        <v>9.5639</v>
      </c>
      <c r="J253" s="10">
        <v>2832.29</v>
      </c>
      <c r="K253" s="10">
        <v>4148.73</v>
      </c>
      <c r="L253" s="10">
        <v>47</v>
      </c>
      <c r="M253" s="10">
        <v>11.6</v>
      </c>
      <c r="N253" s="10">
        <v>2118.6</v>
      </c>
      <c r="O253" s="10">
        <v>38</v>
      </c>
      <c r="P253" s="10">
        <v>3876.2</v>
      </c>
      <c r="Q253" s="10">
        <v>4589.7</v>
      </c>
      <c r="R253" s="10">
        <v>750.8</v>
      </c>
      <c r="S253" s="25">
        <v>342.04</v>
      </c>
      <c r="T253" s="10">
        <v>46.90264</v>
      </c>
      <c r="U253" s="26">
        <v>14.0331</v>
      </c>
      <c r="V253" s="26">
        <v>489.554</v>
      </c>
      <c r="W253" s="27">
        <f t="shared" si="3"/>
        <v>2.86650706561482</v>
      </c>
      <c r="X253" s="27">
        <v>167048</v>
      </c>
      <c r="Y253" s="10">
        <v>118807</v>
      </c>
      <c r="Z253" s="10">
        <v>700</v>
      </c>
      <c r="AA253" s="10">
        <v>60524</v>
      </c>
      <c r="AB253" s="10"/>
    </row>
    <row r="254" ht="21" spans="1:28">
      <c r="A254" s="10">
        <v>2021</v>
      </c>
      <c r="B254" s="10">
        <v>610000</v>
      </c>
      <c r="C254" s="24" t="s">
        <v>61</v>
      </c>
      <c r="D254" s="10">
        <v>40996.3</v>
      </c>
      <c r="E254" s="10">
        <v>2943.79</v>
      </c>
      <c r="F254" s="10">
        <v>32.0588</v>
      </c>
      <c r="G254" s="10">
        <v>59.2558</v>
      </c>
      <c r="H254" s="10">
        <v>551.584</v>
      </c>
      <c r="I254" s="10">
        <v>10.3653</v>
      </c>
      <c r="J254" s="10">
        <v>3148.76</v>
      </c>
      <c r="K254" s="10">
        <v>442.8</v>
      </c>
      <c r="L254" s="10">
        <v>48.1</v>
      </c>
      <c r="M254" s="10">
        <v>11.9</v>
      </c>
      <c r="N254" s="10">
        <v>3048.62</v>
      </c>
      <c r="O254" s="10">
        <v>38.8982</v>
      </c>
      <c r="P254" s="10">
        <v>4115.16</v>
      </c>
      <c r="Q254" s="10">
        <v>4777.76</v>
      </c>
      <c r="R254" s="10">
        <v>758.71</v>
      </c>
      <c r="S254" s="25">
        <v>361.25</v>
      </c>
      <c r="T254" s="10">
        <v>48.52135</v>
      </c>
      <c r="U254" s="26">
        <v>13.0316</v>
      </c>
      <c r="V254" s="26">
        <v>475.997</v>
      </c>
      <c r="W254" s="27">
        <f t="shared" si="3"/>
        <v>2.73774834715345</v>
      </c>
      <c r="X254" s="27">
        <v>171857</v>
      </c>
      <c r="Y254" s="10">
        <v>125281</v>
      </c>
      <c r="Z254" s="10">
        <v>705</v>
      </c>
      <c r="AA254" s="10">
        <v>86272</v>
      </c>
      <c r="AB254" s="10"/>
    </row>
    <row r="255" ht="21" spans="1:28">
      <c r="A255" s="10">
        <v>2022</v>
      </c>
      <c r="B255" s="10">
        <v>610000</v>
      </c>
      <c r="C255" s="24" t="s">
        <v>61</v>
      </c>
      <c r="D255" s="10">
        <v>49499.4</v>
      </c>
      <c r="E255" s="10">
        <v>3007.85</v>
      </c>
      <c r="F255" s="10">
        <v>33.7212</v>
      </c>
      <c r="G255" s="10">
        <v>42.6784</v>
      </c>
      <c r="H255" s="10">
        <v>559.461</v>
      </c>
      <c r="I255" s="10">
        <v>8.5886</v>
      </c>
      <c r="J255" s="10">
        <v>2044.36</v>
      </c>
      <c r="K255" s="10">
        <v>456.532</v>
      </c>
      <c r="L255" s="10">
        <v>43.3</v>
      </c>
      <c r="M255" s="10">
        <v>10.087</v>
      </c>
      <c r="N255" s="10">
        <v>4034.5</v>
      </c>
      <c r="O255" s="10">
        <v>39.9231</v>
      </c>
      <c r="P255" s="10">
        <v>4167.23</v>
      </c>
      <c r="Q255" s="10">
        <v>4834.36</v>
      </c>
      <c r="R255" s="10">
        <v>748.44</v>
      </c>
      <c r="S255" s="25">
        <v>380.76</v>
      </c>
      <c r="T255" s="10">
        <v>48.73998</v>
      </c>
      <c r="U255" s="26">
        <v>14.2635</v>
      </c>
      <c r="V255" s="26">
        <v>471.565</v>
      </c>
      <c r="W255" s="27">
        <f t="shared" si="3"/>
        <v>3.02471557473519</v>
      </c>
      <c r="X255" s="27">
        <v>184493</v>
      </c>
      <c r="Y255" s="10">
        <v>142503</v>
      </c>
      <c r="Z255" s="10">
        <v>715</v>
      </c>
      <c r="AA255" s="10">
        <v>79375</v>
      </c>
      <c r="AB255" s="10"/>
    </row>
    <row r="256" ht="21" spans="1:28">
      <c r="A256" s="10">
        <v>2023</v>
      </c>
      <c r="B256" s="10">
        <v>610000</v>
      </c>
      <c r="C256" s="24" t="s">
        <v>61</v>
      </c>
      <c r="D256" s="10">
        <v>58412</v>
      </c>
      <c r="E256" s="10">
        <v>3277.1</v>
      </c>
      <c r="F256" s="10">
        <v>37.4</v>
      </c>
      <c r="G256" s="10">
        <v>39.1</v>
      </c>
      <c r="H256" s="10">
        <v>552.437</v>
      </c>
      <c r="I256" s="10">
        <v>8.7214</v>
      </c>
      <c r="J256" s="10">
        <v>2300.89</v>
      </c>
      <c r="K256" s="10">
        <v>472.86</v>
      </c>
      <c r="L256" s="10">
        <v>42.807</v>
      </c>
      <c r="M256" s="10">
        <v>13.4373</v>
      </c>
      <c r="N256" s="10">
        <v>5467.24</v>
      </c>
      <c r="O256" s="10">
        <v>43.1575</v>
      </c>
      <c r="P256" s="10">
        <v>4346.5</v>
      </c>
      <c r="Q256" s="10">
        <v>4954.2</v>
      </c>
      <c r="R256" s="10"/>
      <c r="S256" s="25">
        <v>400.4</v>
      </c>
      <c r="T256" s="10">
        <v>58.35049</v>
      </c>
      <c r="U256" s="26">
        <v>13.3821</v>
      </c>
      <c r="V256" s="26">
        <v>456.379</v>
      </c>
      <c r="W256" s="27">
        <f t="shared" si="3"/>
        <v>2.93223395467364</v>
      </c>
      <c r="X256" s="27">
        <v>191123</v>
      </c>
      <c r="Y256" s="10">
        <v>158261</v>
      </c>
      <c r="Z256" s="10">
        <v>904</v>
      </c>
      <c r="AA256" s="10">
        <v>71562</v>
      </c>
      <c r="AB256" s="10"/>
    </row>
    <row r="257" ht="21" spans="1:28">
      <c r="A257" s="10">
        <v>2013</v>
      </c>
      <c r="B257" s="10">
        <v>310000</v>
      </c>
      <c r="C257" s="24" t="s">
        <v>62</v>
      </c>
      <c r="D257" s="10">
        <v>3664</v>
      </c>
      <c r="E257" s="10">
        <v>1374.6</v>
      </c>
      <c r="F257" s="10">
        <v>4.6881</v>
      </c>
      <c r="G257" s="10">
        <v>78.2976</v>
      </c>
      <c r="H257" s="10">
        <v>981.504</v>
      </c>
      <c r="I257" s="10">
        <v>31.6862</v>
      </c>
      <c r="J257" s="10">
        <v>2538.99</v>
      </c>
      <c r="K257" s="10">
        <v>533.158</v>
      </c>
      <c r="L257" s="10">
        <v>70.579</v>
      </c>
      <c r="M257" s="10">
        <v>5.70538</v>
      </c>
      <c r="N257" s="10">
        <v>4422.57</v>
      </c>
      <c r="O257" s="10">
        <v>40.9372</v>
      </c>
      <c r="P257" s="10">
        <v>2329.1</v>
      </c>
      <c r="Q257" s="10">
        <v>3200.7</v>
      </c>
      <c r="R257" s="10">
        <v>518.56</v>
      </c>
      <c r="S257" s="25">
        <v>222.14</v>
      </c>
      <c r="T257" s="10">
        <v>18.17063</v>
      </c>
      <c r="U257" s="26">
        <v>21.6511</v>
      </c>
      <c r="V257" s="26">
        <v>618.837</v>
      </c>
      <c r="W257" s="27">
        <f t="shared" si="3"/>
        <v>3.49867574175429</v>
      </c>
      <c r="X257" s="27">
        <v>84636</v>
      </c>
      <c r="Y257" s="10">
        <v>165755</v>
      </c>
      <c r="Z257" s="10">
        <v>890</v>
      </c>
      <c r="AA257" s="10">
        <v>48680</v>
      </c>
      <c r="AB257" s="10"/>
    </row>
    <row r="258" ht="21" spans="1:28">
      <c r="A258" s="10">
        <v>2014</v>
      </c>
      <c r="B258" s="10">
        <v>310000</v>
      </c>
      <c r="C258" s="24" t="s">
        <v>62</v>
      </c>
      <c r="D258" s="10">
        <v>5097.92</v>
      </c>
      <c r="E258" s="10">
        <v>1404.49</v>
      </c>
      <c r="F258" s="10">
        <v>6.4</v>
      </c>
      <c r="G258" s="10">
        <v>102.312</v>
      </c>
      <c r="H258" s="10">
        <v>1490.63</v>
      </c>
      <c r="I258" s="10">
        <v>31.4374</v>
      </c>
      <c r="J258" s="10">
        <v>2899.35</v>
      </c>
      <c r="K258" s="10">
        <v>595.48</v>
      </c>
      <c r="L258" s="10">
        <v>72.0702</v>
      </c>
      <c r="M258" s="10">
        <v>9.22307</v>
      </c>
      <c r="N258" s="10">
        <v>12437</v>
      </c>
      <c r="O258" s="10">
        <v>45.0268</v>
      </c>
      <c r="P258" s="10">
        <v>2562.72</v>
      </c>
      <c r="Q258" s="10">
        <v>3292.74</v>
      </c>
      <c r="R258" s="10">
        <v>554.655</v>
      </c>
      <c r="S258" s="25">
        <v>239.53</v>
      </c>
      <c r="T258" s="10">
        <v>19.08813</v>
      </c>
      <c r="U258" s="26">
        <v>24.781</v>
      </c>
      <c r="V258" s="26">
        <v>648.876</v>
      </c>
      <c r="W258" s="27">
        <f t="shared" si="3"/>
        <v>3.81906558417941</v>
      </c>
      <c r="X258" s="27">
        <v>85103</v>
      </c>
      <c r="Y258" s="10">
        <v>168173</v>
      </c>
      <c r="Z258" s="10">
        <v>818</v>
      </c>
      <c r="AA258" s="10">
        <v>50488</v>
      </c>
      <c r="AB258" s="10"/>
    </row>
    <row r="259" ht="21" spans="1:28">
      <c r="A259" s="10">
        <v>2015</v>
      </c>
      <c r="B259" s="10">
        <v>310000</v>
      </c>
      <c r="C259" s="24" t="s">
        <v>62</v>
      </c>
      <c r="D259" s="10">
        <v>5142</v>
      </c>
      <c r="E259" s="10">
        <v>1464.79</v>
      </c>
      <c r="F259" s="10">
        <v>8.5497</v>
      </c>
      <c r="G259" s="10">
        <v>204.8</v>
      </c>
      <c r="H259" s="10"/>
      <c r="I259" s="10">
        <v>37.2</v>
      </c>
      <c r="J259" s="10">
        <v>3381.35</v>
      </c>
      <c r="K259" s="10">
        <v>778.76</v>
      </c>
      <c r="L259" s="10">
        <v>73</v>
      </c>
      <c r="M259" s="10">
        <v>13.1</v>
      </c>
      <c r="N259" s="10">
        <v>12879.4</v>
      </c>
      <c r="O259" s="10">
        <v>47.4383</v>
      </c>
      <c r="P259" s="10">
        <v>2569.29</v>
      </c>
      <c r="Q259" s="10">
        <v>3132.41</v>
      </c>
      <c r="R259" s="10">
        <v>670.658</v>
      </c>
      <c r="S259" s="25">
        <v>278.11</v>
      </c>
      <c r="T259" s="10">
        <v>23.89877</v>
      </c>
      <c r="U259" s="26">
        <v>25.4422</v>
      </c>
      <c r="V259" s="26">
        <v>637.233</v>
      </c>
      <c r="W259" s="27">
        <f t="shared" si="3"/>
        <v>3.99260553047316</v>
      </c>
      <c r="X259" s="27">
        <v>85435</v>
      </c>
      <c r="Y259" s="10">
        <v>171798</v>
      </c>
      <c r="Z259" s="10">
        <v>738</v>
      </c>
      <c r="AA259" s="10">
        <v>60623</v>
      </c>
      <c r="AB259" s="10"/>
    </row>
    <row r="260" ht="21" spans="1:28">
      <c r="A260" s="10">
        <v>2016</v>
      </c>
      <c r="B260" s="10">
        <v>310000</v>
      </c>
      <c r="C260" s="24" t="s">
        <v>62</v>
      </c>
      <c r="D260" s="10">
        <v>5564.8</v>
      </c>
      <c r="E260" s="10">
        <v>1595.66</v>
      </c>
      <c r="F260" s="10">
        <v>9.7305</v>
      </c>
      <c r="G260" s="10">
        <v>263.214</v>
      </c>
      <c r="H260" s="10"/>
      <c r="I260" s="10">
        <v>10</v>
      </c>
      <c r="J260" s="10">
        <v>3815.86</v>
      </c>
      <c r="K260" s="10">
        <v>509.97</v>
      </c>
      <c r="L260" s="10">
        <v>74</v>
      </c>
      <c r="M260" s="10">
        <v>12.5</v>
      </c>
      <c r="N260" s="10">
        <v>16037.7</v>
      </c>
      <c r="O260" s="10">
        <v>49.6428</v>
      </c>
      <c r="P260" s="10">
        <v>2662.29</v>
      </c>
      <c r="Q260" s="10">
        <v>3156.14</v>
      </c>
      <c r="R260" s="10">
        <v>492.42</v>
      </c>
      <c r="S260" s="25">
        <v>282.22</v>
      </c>
      <c r="T260" s="10">
        <v>39.31702</v>
      </c>
      <c r="U260" s="26">
        <v>26.7844</v>
      </c>
      <c r="V260" s="26">
        <v>627.776</v>
      </c>
      <c r="W260" s="27">
        <f t="shared" ref="W260:W323" si="4">(U260/V260)*100</f>
        <v>4.26655367519625</v>
      </c>
      <c r="X260" s="27">
        <v>87670</v>
      </c>
      <c r="Y260" s="10">
        <v>183932</v>
      </c>
      <c r="Z260" s="10">
        <v>666</v>
      </c>
      <c r="AA260" s="10">
        <v>64230</v>
      </c>
      <c r="AB260" s="10"/>
    </row>
    <row r="261" ht="21" spans="1:28">
      <c r="A261" s="10">
        <v>2017</v>
      </c>
      <c r="B261" s="10">
        <v>310000</v>
      </c>
      <c r="C261" s="24" t="s">
        <v>62</v>
      </c>
      <c r="D261" s="10">
        <v>5330.96</v>
      </c>
      <c r="E261" s="10">
        <v>1810.2</v>
      </c>
      <c r="F261" s="10">
        <v>9.7942</v>
      </c>
      <c r="G261" s="10">
        <v>240.556</v>
      </c>
      <c r="H261" s="10">
        <v>1527.56</v>
      </c>
      <c r="I261" s="10">
        <v>41.4567</v>
      </c>
      <c r="J261" s="10">
        <v>4341.48</v>
      </c>
      <c r="K261" s="10">
        <v>693.795</v>
      </c>
      <c r="L261" s="10">
        <v>72</v>
      </c>
      <c r="M261" s="10">
        <v>10.8</v>
      </c>
      <c r="N261" s="10">
        <v>15342.3</v>
      </c>
      <c r="O261" s="10">
        <v>53.6311</v>
      </c>
      <c r="P261" s="10">
        <v>3393.14</v>
      </c>
      <c r="Q261" s="10">
        <v>3298.71</v>
      </c>
      <c r="R261" s="10">
        <v>485.08</v>
      </c>
      <c r="S261" s="25">
        <v>336.65</v>
      </c>
      <c r="T261" s="10">
        <v>54.8157</v>
      </c>
      <c r="U261" s="26">
        <v>30.7312</v>
      </c>
      <c r="V261" s="26">
        <v>632.309</v>
      </c>
      <c r="W261" s="27">
        <f t="shared" si="4"/>
        <v>4.86015539870538</v>
      </c>
      <c r="X261" s="27">
        <v>86945</v>
      </c>
      <c r="Y261" s="10">
        <v>183462</v>
      </c>
      <c r="Z261" s="10">
        <v>621</v>
      </c>
      <c r="AA261" s="10">
        <v>72806</v>
      </c>
      <c r="AB261" s="10"/>
    </row>
    <row r="262" ht="21" spans="1:28">
      <c r="A262" s="10">
        <v>2018</v>
      </c>
      <c r="B262" s="10">
        <v>310000</v>
      </c>
      <c r="C262" s="24" t="s">
        <v>62</v>
      </c>
      <c r="D262" s="10">
        <v>4024.06</v>
      </c>
      <c r="E262" s="10">
        <v>1871.82</v>
      </c>
      <c r="F262" s="10">
        <v>11.5619</v>
      </c>
      <c r="G262" s="10">
        <v>147.446</v>
      </c>
      <c r="H262" s="10">
        <v>1528.55</v>
      </c>
      <c r="I262" s="10">
        <v>37.819</v>
      </c>
      <c r="J262" s="10">
        <v>4836.86</v>
      </c>
      <c r="K262" s="10">
        <v>1436.34</v>
      </c>
      <c r="L262" s="10">
        <v>67</v>
      </c>
      <c r="M262" s="10">
        <v>10.731</v>
      </c>
      <c r="N262" s="10">
        <v>17412</v>
      </c>
      <c r="O262" s="10">
        <v>55.6805</v>
      </c>
      <c r="P262" s="10">
        <v>3032</v>
      </c>
      <c r="Q262" s="10">
        <v>3722.28</v>
      </c>
      <c r="R262" s="10">
        <v>451.5</v>
      </c>
      <c r="S262" s="25">
        <v>377.73</v>
      </c>
      <c r="T262" s="10">
        <v>54.23796</v>
      </c>
      <c r="U262" s="26">
        <v>35.5812</v>
      </c>
      <c r="V262" s="26">
        <v>640.666</v>
      </c>
      <c r="W262" s="27">
        <f t="shared" si="4"/>
        <v>5.55378309446732</v>
      </c>
      <c r="X262" s="27">
        <v>85832</v>
      </c>
      <c r="Y262" s="10">
        <v>188138</v>
      </c>
      <c r="Z262" s="10">
        <v>628</v>
      </c>
      <c r="AA262" s="10">
        <v>92460</v>
      </c>
      <c r="AB262" s="10"/>
    </row>
    <row r="263" ht="21" spans="1:28">
      <c r="A263" s="10">
        <v>2019</v>
      </c>
      <c r="B263" s="10">
        <v>310000</v>
      </c>
      <c r="C263" s="24" t="s">
        <v>62</v>
      </c>
      <c r="D263" s="10">
        <v>4205.22</v>
      </c>
      <c r="E263" s="10">
        <v>2028.61</v>
      </c>
      <c r="F263" s="10">
        <v>16.4592</v>
      </c>
      <c r="G263" s="10">
        <v>138.885</v>
      </c>
      <c r="H263" s="10">
        <v>1529.31</v>
      </c>
      <c r="I263" s="10">
        <v>33.1986</v>
      </c>
      <c r="J263" s="10">
        <v>5911.9</v>
      </c>
      <c r="K263" s="10">
        <v>2240.43</v>
      </c>
      <c r="L263" s="10">
        <v>62.3</v>
      </c>
      <c r="M263" s="10">
        <v>11</v>
      </c>
      <c r="N263" s="10">
        <v>20462.4</v>
      </c>
      <c r="O263" s="10">
        <v>60.6857</v>
      </c>
      <c r="P263" s="10">
        <v>3197.44</v>
      </c>
      <c r="Q263" s="10">
        <v>4007.89</v>
      </c>
      <c r="R263" s="10">
        <v>425.43</v>
      </c>
      <c r="S263" s="25">
        <v>410.28</v>
      </c>
      <c r="T263" s="10">
        <v>75.04664</v>
      </c>
      <c r="U263" s="26">
        <v>41.768</v>
      </c>
      <c r="V263" s="26">
        <v>716.058</v>
      </c>
      <c r="W263" s="27">
        <f t="shared" si="4"/>
        <v>5.83304704367523</v>
      </c>
      <c r="X263" s="27">
        <v>85641</v>
      </c>
      <c r="Y263" s="10">
        <v>198646</v>
      </c>
      <c r="Z263" s="10">
        <v>695</v>
      </c>
      <c r="AA263" s="10">
        <v>100587</v>
      </c>
      <c r="AB263" s="10"/>
    </row>
    <row r="264" ht="21" spans="1:28">
      <c r="A264" s="10">
        <v>2020</v>
      </c>
      <c r="B264" s="10">
        <v>310000</v>
      </c>
      <c r="C264" s="24" t="s">
        <v>62</v>
      </c>
      <c r="D264" s="10">
        <v>5034</v>
      </c>
      <c r="E264" s="10">
        <v>2322</v>
      </c>
      <c r="F264" s="10">
        <v>17.8</v>
      </c>
      <c r="G264" s="10">
        <v>140.7</v>
      </c>
      <c r="H264" s="10">
        <v>1539.8</v>
      </c>
      <c r="I264" s="10">
        <v>28.5782</v>
      </c>
      <c r="J264" s="10">
        <v>6571.32</v>
      </c>
      <c r="K264" s="10">
        <v>2824.19</v>
      </c>
      <c r="L264" s="10">
        <v>57</v>
      </c>
      <c r="M264" s="10">
        <v>11.2</v>
      </c>
      <c r="N264" s="10">
        <v>23624.8</v>
      </c>
      <c r="O264" s="10">
        <v>63</v>
      </c>
      <c r="P264" s="10">
        <v>3365.7</v>
      </c>
      <c r="Q264" s="10">
        <v>4277.6</v>
      </c>
      <c r="R264" s="10">
        <v>733.19</v>
      </c>
      <c r="S264" s="25">
        <v>431.93</v>
      </c>
      <c r="T264" s="10">
        <v>114.0746</v>
      </c>
      <c r="U264" s="26">
        <v>44.8003</v>
      </c>
      <c r="V264" s="26">
        <v>645.562</v>
      </c>
      <c r="W264" s="27">
        <f t="shared" si="4"/>
        <v>6.93973622982765</v>
      </c>
      <c r="X264" s="27">
        <v>91637</v>
      </c>
      <c r="Y264" s="10">
        <v>228621</v>
      </c>
      <c r="Z264" s="10">
        <v>805</v>
      </c>
      <c r="AA264" s="10">
        <v>139780</v>
      </c>
      <c r="AB264" s="10"/>
    </row>
    <row r="265" ht="21" spans="1:28">
      <c r="A265" s="10">
        <v>2021</v>
      </c>
      <c r="B265" s="10">
        <v>310000</v>
      </c>
      <c r="C265" s="24" t="s">
        <v>62</v>
      </c>
      <c r="D265" s="10">
        <v>4764.65</v>
      </c>
      <c r="E265" s="10">
        <v>2340.43</v>
      </c>
      <c r="F265" s="10">
        <v>19.9056</v>
      </c>
      <c r="G265" s="10">
        <v>148.419</v>
      </c>
      <c r="H265" s="10">
        <v>1531.43</v>
      </c>
      <c r="I265" s="10">
        <v>34.1882</v>
      </c>
      <c r="J265" s="10">
        <v>8037.91</v>
      </c>
      <c r="K265" s="10">
        <v>574.58</v>
      </c>
      <c r="L265" s="10">
        <v>57.4</v>
      </c>
      <c r="M265" s="10">
        <v>11.3</v>
      </c>
      <c r="N265" s="10">
        <v>29122.5</v>
      </c>
      <c r="O265" s="10">
        <v>66.2638</v>
      </c>
      <c r="P265" s="10">
        <v>3616.6</v>
      </c>
      <c r="Q265" s="10">
        <v>4398.83</v>
      </c>
      <c r="R265" s="10">
        <v>738.72</v>
      </c>
      <c r="S265" s="25">
        <v>453.75</v>
      </c>
      <c r="T265" s="10">
        <v>113.9105</v>
      </c>
      <c r="U265" s="26">
        <v>50.6869</v>
      </c>
      <c r="V265" s="26">
        <v>683.075</v>
      </c>
      <c r="W265" s="27">
        <f t="shared" si="4"/>
        <v>7.42040039527138</v>
      </c>
      <c r="X265" s="27">
        <v>92227</v>
      </c>
      <c r="Y265" s="10">
        <v>235518</v>
      </c>
      <c r="Z265" s="10">
        <v>850</v>
      </c>
      <c r="AA265" s="10">
        <v>179317</v>
      </c>
      <c r="AB265" s="10"/>
    </row>
    <row r="266" ht="21" spans="1:28">
      <c r="A266" s="10">
        <v>2022</v>
      </c>
      <c r="B266" s="10">
        <v>310000</v>
      </c>
      <c r="C266" s="24" t="s">
        <v>62</v>
      </c>
      <c r="D266" s="10">
        <v>4733.89</v>
      </c>
      <c r="E266" s="10">
        <v>2536.78</v>
      </c>
      <c r="F266" s="10">
        <v>22.3127</v>
      </c>
      <c r="G266" s="10">
        <v>130.26</v>
      </c>
      <c r="H266" s="10">
        <v>1551.39</v>
      </c>
      <c r="I266" s="10">
        <v>30.5777</v>
      </c>
      <c r="J266" s="10">
        <v>8930.82</v>
      </c>
      <c r="K266" s="10">
        <v>575.44</v>
      </c>
      <c r="L266" s="10">
        <v>54.2</v>
      </c>
      <c r="M266" s="10">
        <v>11.8492</v>
      </c>
      <c r="N266" s="10">
        <v>39597.8</v>
      </c>
      <c r="O266" s="10">
        <v>67.6986</v>
      </c>
      <c r="P266" s="10">
        <v>3680.07</v>
      </c>
      <c r="Q266" s="10">
        <v>4432.71</v>
      </c>
      <c r="R266" s="10">
        <v>740.826</v>
      </c>
      <c r="S266" s="25">
        <v>475.79</v>
      </c>
      <c r="T266" s="10">
        <v>108.5594</v>
      </c>
      <c r="U266" s="26">
        <v>54.4336</v>
      </c>
      <c r="V266" s="26">
        <v>672.265</v>
      </c>
      <c r="W266" s="27">
        <f t="shared" si="4"/>
        <v>8.09704506407443</v>
      </c>
      <c r="X266" s="27">
        <v>98354</v>
      </c>
      <c r="Y266" s="10">
        <v>264054</v>
      </c>
      <c r="Z266" s="10">
        <v>911</v>
      </c>
      <c r="AA266" s="10">
        <v>178323</v>
      </c>
      <c r="AB266" s="10"/>
    </row>
    <row r="267" ht="21" spans="1:28">
      <c r="A267" s="10">
        <v>2023</v>
      </c>
      <c r="B267" s="10">
        <v>310000</v>
      </c>
      <c r="C267" s="24" t="s">
        <v>62</v>
      </c>
      <c r="D267" s="10">
        <v>4832</v>
      </c>
      <c r="E267" s="10">
        <v>2560.5</v>
      </c>
      <c r="F267" s="10">
        <v>23.9</v>
      </c>
      <c r="G267" s="10">
        <v>121.2</v>
      </c>
      <c r="H267" s="10">
        <v>1533.78</v>
      </c>
      <c r="I267" s="10">
        <v>33.3651</v>
      </c>
      <c r="J267" s="10">
        <v>10789.8</v>
      </c>
      <c r="K267" s="10">
        <v>645.98</v>
      </c>
      <c r="L267" s="10">
        <v>60.107</v>
      </c>
      <c r="M267" s="10">
        <v>14.7964</v>
      </c>
      <c r="N267" s="10">
        <v>47257.7</v>
      </c>
      <c r="O267" s="10">
        <v>70.378</v>
      </c>
      <c r="P267" s="10">
        <v>3877.9</v>
      </c>
      <c r="Q267" s="10">
        <v>4691.8</v>
      </c>
      <c r="R267" s="10"/>
      <c r="S267" s="25">
        <v>498.28</v>
      </c>
      <c r="T267" s="10">
        <v>116.7996</v>
      </c>
      <c r="U267" s="26">
        <v>52.8287</v>
      </c>
      <c r="V267" s="26">
        <v>647.553</v>
      </c>
      <c r="W267" s="27">
        <f t="shared" si="4"/>
        <v>8.15820481103477</v>
      </c>
      <c r="X267" s="27">
        <v>98392</v>
      </c>
      <c r="Y267" s="10">
        <v>298924</v>
      </c>
      <c r="Z267" s="10">
        <v>935</v>
      </c>
      <c r="AA267" s="10">
        <v>159115</v>
      </c>
      <c r="AB267" s="10"/>
    </row>
    <row r="268" ht="21" spans="1:28">
      <c r="A268" s="10">
        <v>2013</v>
      </c>
      <c r="B268" s="10">
        <v>510000</v>
      </c>
      <c r="C268" s="24" t="s">
        <v>63</v>
      </c>
      <c r="D268" s="10">
        <v>56157</v>
      </c>
      <c r="E268" s="10">
        <v>1775.7</v>
      </c>
      <c r="F268" s="10">
        <v>12.4273</v>
      </c>
      <c r="G268" s="10">
        <v>34.0263</v>
      </c>
      <c r="H268" s="10">
        <v>795.622</v>
      </c>
      <c r="I268" s="10">
        <v>11.0127</v>
      </c>
      <c r="J268" s="10">
        <v>1600.31</v>
      </c>
      <c r="K268" s="10">
        <v>759.537</v>
      </c>
      <c r="L268" s="10">
        <v>55.0708</v>
      </c>
      <c r="M268" s="10">
        <v>3.76177</v>
      </c>
      <c r="N268" s="10">
        <v>925.866</v>
      </c>
      <c r="O268" s="10">
        <v>17.898</v>
      </c>
      <c r="P268" s="10">
        <v>4333</v>
      </c>
      <c r="Q268" s="10">
        <v>6283.3</v>
      </c>
      <c r="R268" s="10">
        <v>948.31</v>
      </c>
      <c r="S268" s="25">
        <v>153.04</v>
      </c>
      <c r="T268" s="10">
        <v>7.419629</v>
      </c>
      <c r="U268" s="26">
        <v>15.6216</v>
      </c>
      <c r="V268" s="26">
        <v>846.245</v>
      </c>
      <c r="W268" s="27">
        <f t="shared" si="4"/>
        <v>1.84599022741641</v>
      </c>
      <c r="X268" s="27">
        <v>164906</v>
      </c>
      <c r="Y268" s="10">
        <v>109708</v>
      </c>
      <c r="Z268" s="10">
        <v>999</v>
      </c>
      <c r="AA268" s="10">
        <v>46171</v>
      </c>
      <c r="AB268" s="10"/>
    </row>
    <row r="269" ht="21" spans="1:28">
      <c r="A269" s="10">
        <v>2014</v>
      </c>
      <c r="B269" s="10">
        <v>510000</v>
      </c>
      <c r="C269" s="24" t="s">
        <v>63</v>
      </c>
      <c r="D269" s="10">
        <v>56904.6</v>
      </c>
      <c r="E269" s="10">
        <v>2200.39</v>
      </c>
      <c r="F269" s="10">
        <v>17.8</v>
      </c>
      <c r="G269" s="10">
        <v>67.0677</v>
      </c>
      <c r="H269" s="10">
        <v>932.887</v>
      </c>
      <c r="I269" s="10">
        <v>12.2172</v>
      </c>
      <c r="J269" s="10">
        <v>1895.57</v>
      </c>
      <c r="K269" s="10">
        <v>909.59</v>
      </c>
      <c r="L269" s="10">
        <v>58.328</v>
      </c>
      <c r="M269" s="10">
        <v>6.3449</v>
      </c>
      <c r="N269" s="10">
        <v>1562.93</v>
      </c>
      <c r="O269" s="10">
        <v>20.4583</v>
      </c>
      <c r="P269" s="10">
        <v>5030.04</v>
      </c>
      <c r="Q269" s="10">
        <v>6608.48</v>
      </c>
      <c r="R269" s="10">
        <v>1132.46</v>
      </c>
      <c r="S269" s="25">
        <v>173.82</v>
      </c>
      <c r="T269" s="10">
        <v>7.388463</v>
      </c>
      <c r="U269" s="26">
        <v>16.2872</v>
      </c>
      <c r="V269" s="26">
        <v>808.747</v>
      </c>
      <c r="W269" s="27">
        <f t="shared" si="4"/>
        <v>2.0138807315514</v>
      </c>
      <c r="X269" s="27">
        <v>174616</v>
      </c>
      <c r="Y269" s="10">
        <v>119676</v>
      </c>
      <c r="Z269" s="10">
        <v>1210</v>
      </c>
      <c r="AA269" s="10">
        <v>47120</v>
      </c>
      <c r="AB269" s="10"/>
    </row>
    <row r="270" ht="21" spans="1:28">
      <c r="A270" s="10">
        <v>2015</v>
      </c>
      <c r="B270" s="10">
        <v>510000</v>
      </c>
      <c r="C270" s="24" t="s">
        <v>63</v>
      </c>
      <c r="D270" s="10">
        <v>60268</v>
      </c>
      <c r="E270" s="10">
        <v>3117.93</v>
      </c>
      <c r="F270" s="10">
        <v>24.9044</v>
      </c>
      <c r="G270" s="10">
        <v>104.4</v>
      </c>
      <c r="H270" s="10"/>
      <c r="I270" s="10">
        <v>15.8</v>
      </c>
      <c r="J270" s="10">
        <v>2125.91</v>
      </c>
      <c r="K270" s="10">
        <v>1159.02</v>
      </c>
      <c r="L270" s="10">
        <v>58</v>
      </c>
      <c r="M270" s="10">
        <v>10.2</v>
      </c>
      <c r="N270" s="10">
        <v>1848.36</v>
      </c>
      <c r="O270" s="10">
        <v>22.1964</v>
      </c>
      <c r="P270" s="10">
        <v>5476.61</v>
      </c>
      <c r="Q270" s="10">
        <v>6798.26</v>
      </c>
      <c r="R270" s="10">
        <v>1085.39</v>
      </c>
      <c r="S270" s="25">
        <v>215.48</v>
      </c>
      <c r="T270" s="10">
        <v>11.9885</v>
      </c>
      <c r="U270" s="26">
        <v>18.2515</v>
      </c>
      <c r="V270" s="26">
        <v>795.468</v>
      </c>
      <c r="W270" s="27">
        <f t="shared" si="4"/>
        <v>2.29443547697708</v>
      </c>
      <c r="X270" s="27">
        <v>175724</v>
      </c>
      <c r="Y270" s="10">
        <v>116842</v>
      </c>
      <c r="Z270" s="10">
        <v>1022</v>
      </c>
      <c r="AA270" s="10">
        <v>64953</v>
      </c>
      <c r="AB270" s="10"/>
    </row>
    <row r="271" ht="21" spans="1:28">
      <c r="A271" s="10">
        <v>2016</v>
      </c>
      <c r="B271" s="10">
        <v>510000</v>
      </c>
      <c r="C271" s="24" t="s">
        <v>63</v>
      </c>
      <c r="D271" s="10">
        <v>61204</v>
      </c>
      <c r="E271" s="10">
        <v>3709.61</v>
      </c>
      <c r="F271" s="10">
        <v>29.3048</v>
      </c>
      <c r="G271" s="10">
        <v>138.092</v>
      </c>
      <c r="H271" s="10"/>
      <c r="I271" s="10">
        <v>19.6377</v>
      </c>
      <c r="J271" s="10">
        <v>2423.09</v>
      </c>
      <c r="K271" s="10">
        <v>714.93</v>
      </c>
      <c r="L271" s="10">
        <v>58.7</v>
      </c>
      <c r="M271" s="10">
        <v>13.9</v>
      </c>
      <c r="N271" s="10">
        <v>2381.21</v>
      </c>
      <c r="O271" s="10">
        <v>22.6425</v>
      </c>
      <c r="P271" s="10">
        <v>6358.42</v>
      </c>
      <c r="Q271" s="10">
        <v>7294.47</v>
      </c>
      <c r="R271" s="10">
        <v>1004.52</v>
      </c>
      <c r="S271" s="25">
        <v>225.41</v>
      </c>
      <c r="T271" s="10">
        <v>19.6782</v>
      </c>
      <c r="U271" s="26">
        <v>18.4098</v>
      </c>
      <c r="V271" s="26">
        <v>787.532</v>
      </c>
      <c r="W271" s="27">
        <f t="shared" si="4"/>
        <v>2.33765739042985</v>
      </c>
      <c r="X271" s="27">
        <v>182477</v>
      </c>
      <c r="Y271" s="10">
        <v>124614</v>
      </c>
      <c r="Z271" s="10">
        <v>1066</v>
      </c>
      <c r="AA271" s="10">
        <v>62445</v>
      </c>
      <c r="AB271" s="10"/>
    </row>
    <row r="272" ht="21" spans="1:28">
      <c r="A272" s="10">
        <v>2017</v>
      </c>
      <c r="B272" s="10">
        <v>510000</v>
      </c>
      <c r="C272" s="24" t="s">
        <v>63</v>
      </c>
      <c r="D272" s="10">
        <v>67565.1</v>
      </c>
      <c r="E272" s="10">
        <v>4702.77</v>
      </c>
      <c r="F272" s="10">
        <v>31.4639</v>
      </c>
      <c r="G272" s="10">
        <v>118.384</v>
      </c>
      <c r="H272" s="10">
        <v>938.212</v>
      </c>
      <c r="I272" s="10">
        <v>23.3502</v>
      </c>
      <c r="J272" s="10">
        <v>2782.23</v>
      </c>
      <c r="K272" s="10">
        <v>1245.99</v>
      </c>
      <c r="L272" s="10">
        <v>58</v>
      </c>
      <c r="M272" s="10">
        <v>11.7</v>
      </c>
      <c r="N272" s="10">
        <v>3687.81</v>
      </c>
      <c r="O272" s="10">
        <v>23.2891</v>
      </c>
      <c r="P272" s="10">
        <v>6898.54</v>
      </c>
      <c r="Q272" s="10">
        <v>7693.62</v>
      </c>
      <c r="R272" s="10">
        <v>1006.4</v>
      </c>
      <c r="S272" s="25">
        <v>267.8</v>
      </c>
      <c r="T272" s="10">
        <v>35.6181</v>
      </c>
      <c r="U272" s="26">
        <v>20.135</v>
      </c>
      <c r="V272" s="26">
        <v>792.21</v>
      </c>
      <c r="W272" s="27">
        <f t="shared" si="4"/>
        <v>2.54162406432638</v>
      </c>
      <c r="X272" s="27">
        <v>184269</v>
      </c>
      <c r="Y272" s="10">
        <v>144821</v>
      </c>
      <c r="Z272" s="10">
        <v>1270</v>
      </c>
      <c r="AA272" s="10">
        <v>64006</v>
      </c>
      <c r="AB272" s="10"/>
    </row>
    <row r="273" ht="21" spans="1:28">
      <c r="A273" s="10">
        <v>2018</v>
      </c>
      <c r="B273" s="10">
        <v>510000</v>
      </c>
      <c r="C273" s="24" t="s">
        <v>63</v>
      </c>
      <c r="D273" s="10">
        <v>67133.3</v>
      </c>
      <c r="E273" s="10">
        <v>5400.5</v>
      </c>
      <c r="F273" s="10">
        <v>34.2242</v>
      </c>
      <c r="G273" s="10">
        <v>144.592</v>
      </c>
      <c r="H273" s="10">
        <v>938.821</v>
      </c>
      <c r="I273" s="10">
        <v>23.9774</v>
      </c>
      <c r="J273" s="10">
        <v>3172.64</v>
      </c>
      <c r="K273" s="10">
        <v>3297.15</v>
      </c>
      <c r="L273" s="10">
        <v>54</v>
      </c>
      <c r="M273" s="10">
        <v>11.4605</v>
      </c>
      <c r="N273" s="10">
        <v>4219.19</v>
      </c>
      <c r="O273" s="10">
        <v>24.2764</v>
      </c>
      <c r="P273" s="10">
        <v>7332.03</v>
      </c>
      <c r="Q273" s="10">
        <v>9068.55</v>
      </c>
      <c r="R273" s="10">
        <v>1123.83</v>
      </c>
      <c r="S273" s="25">
        <v>294.3</v>
      </c>
      <c r="T273" s="10">
        <v>36.49234</v>
      </c>
      <c r="U273" s="26">
        <v>19.3338</v>
      </c>
      <c r="V273" s="26">
        <v>780.638</v>
      </c>
      <c r="W273" s="27">
        <f t="shared" si="4"/>
        <v>2.47666652148627</v>
      </c>
      <c r="X273" s="27">
        <v>186361</v>
      </c>
      <c r="Y273" s="10">
        <v>158847</v>
      </c>
      <c r="Z273" s="10">
        <v>1333</v>
      </c>
      <c r="AA273" s="10">
        <v>87372</v>
      </c>
      <c r="AB273" s="10"/>
    </row>
    <row r="274" ht="21" spans="1:28">
      <c r="A274" s="10">
        <v>2019</v>
      </c>
      <c r="B274" s="10">
        <v>510000</v>
      </c>
      <c r="C274" s="24" t="s">
        <v>63</v>
      </c>
      <c r="D274" s="10">
        <v>122353</v>
      </c>
      <c r="E274" s="10">
        <v>5863.99</v>
      </c>
      <c r="F274" s="10">
        <v>42.1849</v>
      </c>
      <c r="G274" s="10">
        <v>217.048</v>
      </c>
      <c r="H274" s="10">
        <v>939.288</v>
      </c>
      <c r="I274" s="10">
        <v>20.0794</v>
      </c>
      <c r="J274" s="10">
        <v>3691.42</v>
      </c>
      <c r="K274" s="10">
        <v>5164.95</v>
      </c>
      <c r="L274" s="10">
        <v>57.8</v>
      </c>
      <c r="M274" s="10">
        <v>11.8</v>
      </c>
      <c r="N274" s="10">
        <v>5367.96</v>
      </c>
      <c r="O274" s="10">
        <v>26.1817</v>
      </c>
      <c r="P274" s="10">
        <v>7277.7</v>
      </c>
      <c r="Q274" s="10">
        <v>9443.51</v>
      </c>
      <c r="R274" s="10">
        <v>948.97</v>
      </c>
      <c r="S274" s="25">
        <v>317.11</v>
      </c>
      <c r="T274" s="10">
        <v>39.53505</v>
      </c>
      <c r="U274" s="26">
        <v>20.0094</v>
      </c>
      <c r="V274" s="26">
        <v>788.935</v>
      </c>
      <c r="W274" s="27">
        <f t="shared" si="4"/>
        <v>2.53625457103564</v>
      </c>
      <c r="X274" s="27">
        <v>206829</v>
      </c>
      <c r="Y274" s="10">
        <v>170777</v>
      </c>
      <c r="Z274" s="10">
        <v>1497</v>
      </c>
      <c r="AA274" s="10">
        <v>82066</v>
      </c>
      <c r="AB274" s="10"/>
    </row>
    <row r="275" ht="21" spans="1:28">
      <c r="A275" s="10">
        <v>2020</v>
      </c>
      <c r="B275" s="10">
        <v>510000</v>
      </c>
      <c r="C275" s="24" t="s">
        <v>63</v>
      </c>
      <c r="D275" s="10">
        <v>125048</v>
      </c>
      <c r="E275" s="10">
        <v>6284.7</v>
      </c>
      <c r="F275" s="10">
        <v>48.3</v>
      </c>
      <c r="G275" s="10">
        <v>219</v>
      </c>
      <c r="H275" s="10">
        <v>943.7</v>
      </c>
      <c r="I275" s="10">
        <v>16.1814</v>
      </c>
      <c r="J275" s="10">
        <v>4248.16</v>
      </c>
      <c r="K275" s="10">
        <v>7526.73</v>
      </c>
      <c r="L275" s="10">
        <v>49</v>
      </c>
      <c r="M275" s="10">
        <v>12.6</v>
      </c>
      <c r="N275" s="10">
        <v>5901.6</v>
      </c>
      <c r="O275" s="10">
        <v>29</v>
      </c>
      <c r="P275" s="10">
        <v>7521.4</v>
      </c>
      <c r="Q275" s="10">
        <v>9124.6</v>
      </c>
      <c r="R275" s="10">
        <v>934.7</v>
      </c>
      <c r="S275" s="25">
        <v>334.82</v>
      </c>
      <c r="T275" s="10">
        <v>60.42415</v>
      </c>
      <c r="U275" s="26">
        <v>23.6584</v>
      </c>
      <c r="V275" s="26">
        <v>861.76</v>
      </c>
      <c r="W275" s="27">
        <f t="shared" si="4"/>
        <v>2.74535833642778</v>
      </c>
      <c r="X275" s="27">
        <v>222385</v>
      </c>
      <c r="Y275" s="10">
        <v>189829</v>
      </c>
      <c r="Z275" s="10">
        <v>1811</v>
      </c>
      <c r="AA275" s="10">
        <v>108386</v>
      </c>
      <c r="AB275" s="10"/>
    </row>
    <row r="276" ht="21" spans="1:28">
      <c r="A276" s="10">
        <v>2021</v>
      </c>
      <c r="B276" s="10">
        <v>510000</v>
      </c>
      <c r="C276" s="24" t="s">
        <v>63</v>
      </c>
      <c r="D276" s="10">
        <v>125361</v>
      </c>
      <c r="E276" s="10">
        <v>6708.48</v>
      </c>
      <c r="F276" s="10">
        <v>49.5863</v>
      </c>
      <c r="G276" s="10">
        <v>126.211</v>
      </c>
      <c r="H276" s="10">
        <v>939.565</v>
      </c>
      <c r="I276" s="10">
        <v>18.1545</v>
      </c>
      <c r="J276" s="10">
        <v>4341.13</v>
      </c>
      <c r="K276" s="10">
        <v>947.43</v>
      </c>
      <c r="L276" s="10">
        <v>48.4</v>
      </c>
      <c r="M276" s="10">
        <v>12.6</v>
      </c>
      <c r="N276" s="10">
        <v>7364.39</v>
      </c>
      <c r="O276" s="10">
        <v>31.0612</v>
      </c>
      <c r="P276" s="10">
        <v>7990.76</v>
      </c>
      <c r="Q276" s="10">
        <v>9338.87</v>
      </c>
      <c r="R276" s="10">
        <v>894.52</v>
      </c>
      <c r="S276" s="25">
        <v>353.15</v>
      </c>
      <c r="T276" s="10">
        <v>55.21441</v>
      </c>
      <c r="U276" s="26">
        <v>25.2603</v>
      </c>
      <c r="V276" s="26">
        <v>871.468</v>
      </c>
      <c r="W276" s="27">
        <f t="shared" si="4"/>
        <v>2.89859180142013</v>
      </c>
      <c r="X276" s="27">
        <v>226120</v>
      </c>
      <c r="Y276" s="10">
        <v>197143</v>
      </c>
      <c r="Z276" s="10">
        <v>2023</v>
      </c>
      <c r="AA276" s="10">
        <v>146936</v>
      </c>
      <c r="AB276" s="10"/>
    </row>
    <row r="277" ht="21" spans="1:28">
      <c r="A277" s="10">
        <v>2022</v>
      </c>
      <c r="B277" s="10">
        <v>510000</v>
      </c>
      <c r="C277" s="24" t="s">
        <v>63</v>
      </c>
      <c r="D277" s="10">
        <v>64051.1</v>
      </c>
      <c r="E277" s="10">
        <v>6433.96</v>
      </c>
      <c r="F277" s="10">
        <v>53.2877</v>
      </c>
      <c r="G277" s="10">
        <v>140.193</v>
      </c>
      <c r="H277" s="10">
        <v>950.741</v>
      </c>
      <c r="I277" s="10">
        <v>16.77</v>
      </c>
      <c r="J277" s="10">
        <v>4841.6</v>
      </c>
      <c r="K277" s="10">
        <v>953.761</v>
      </c>
      <c r="L277" s="10">
        <v>42.5</v>
      </c>
      <c r="M277" s="10">
        <v>10.6973</v>
      </c>
      <c r="N277" s="10">
        <v>9092.51</v>
      </c>
      <c r="O277" s="10">
        <v>32.9205</v>
      </c>
      <c r="P277" s="10">
        <v>8400.37</v>
      </c>
      <c r="Q277" s="10">
        <v>9623.18</v>
      </c>
      <c r="R277" s="10">
        <v>858.643</v>
      </c>
      <c r="S277" s="25">
        <v>371.57</v>
      </c>
      <c r="T277" s="10">
        <v>58.08422</v>
      </c>
      <c r="U277" s="26">
        <v>26.3709</v>
      </c>
      <c r="V277" s="26">
        <v>881.43</v>
      </c>
      <c r="W277" s="27">
        <f t="shared" si="4"/>
        <v>2.99183145570267</v>
      </c>
      <c r="X277" s="27">
        <v>253299</v>
      </c>
      <c r="Y277" s="10">
        <v>227141</v>
      </c>
      <c r="Z277" s="10">
        <v>2019</v>
      </c>
      <c r="AA277" s="10">
        <v>135507</v>
      </c>
      <c r="AB277" s="10"/>
    </row>
    <row r="278" ht="21" spans="1:28">
      <c r="A278" s="10">
        <v>2023</v>
      </c>
      <c r="B278" s="10">
        <v>510000</v>
      </c>
      <c r="C278" s="24" t="s">
        <v>63</v>
      </c>
      <c r="D278" s="10">
        <v>63317</v>
      </c>
      <c r="E278" s="10">
        <v>6732.5</v>
      </c>
      <c r="F278" s="10">
        <v>59.4</v>
      </c>
      <c r="G278" s="10">
        <v>97.1</v>
      </c>
      <c r="H278" s="10">
        <v>940.172</v>
      </c>
      <c r="I278" s="10">
        <v>17.3404</v>
      </c>
      <c r="J278" s="10">
        <v>5490.63</v>
      </c>
      <c r="K278" s="10">
        <v>994.84</v>
      </c>
      <c r="L278" s="10">
        <v>39.8016</v>
      </c>
      <c r="M278" s="10">
        <v>14.3142</v>
      </c>
      <c r="N278" s="10">
        <v>11126.7</v>
      </c>
      <c r="O278" s="10">
        <v>36.176</v>
      </c>
      <c r="P278" s="10">
        <v>8843.1</v>
      </c>
      <c r="Q278" s="10">
        <v>9701.8</v>
      </c>
      <c r="R278" s="10"/>
      <c r="S278" s="25">
        <v>390.81</v>
      </c>
      <c r="T278" s="10">
        <v>73.75711</v>
      </c>
      <c r="U278" s="26">
        <v>27.574</v>
      </c>
      <c r="V278" s="26">
        <v>883.625</v>
      </c>
      <c r="W278" s="27">
        <f t="shared" si="4"/>
        <v>3.12055453388032</v>
      </c>
      <c r="X278" s="27">
        <v>267874</v>
      </c>
      <c r="Y278" s="10">
        <v>250058</v>
      </c>
      <c r="Z278" s="10">
        <v>2339</v>
      </c>
      <c r="AA278" s="10">
        <v>113073</v>
      </c>
      <c r="AB278" s="10"/>
    </row>
    <row r="279" ht="21" spans="1:28">
      <c r="A279" s="10">
        <v>2013</v>
      </c>
      <c r="B279" s="10">
        <v>120000</v>
      </c>
      <c r="C279" s="24" t="s">
        <v>64</v>
      </c>
      <c r="D279" s="10">
        <v>3481</v>
      </c>
      <c r="E279" s="10">
        <v>353.9</v>
      </c>
      <c r="F279" s="10">
        <v>2.5252</v>
      </c>
      <c r="G279" s="10">
        <v>11.5133</v>
      </c>
      <c r="H279" s="10">
        <v>284.774</v>
      </c>
      <c r="I279" s="10">
        <v>3.6617</v>
      </c>
      <c r="J279" s="10">
        <v>711.392</v>
      </c>
      <c r="K279" s="10">
        <v>183.785</v>
      </c>
      <c r="L279" s="10">
        <v>53.2949</v>
      </c>
      <c r="M279" s="10">
        <v>5.38367</v>
      </c>
      <c r="N279" s="10">
        <v>1053.68</v>
      </c>
      <c r="O279" s="10">
        <v>27.4414</v>
      </c>
      <c r="P279" s="10"/>
      <c r="Q279" s="10">
        <v>1323.2</v>
      </c>
      <c r="R279" s="10">
        <v>255.71</v>
      </c>
      <c r="S279" s="25">
        <v>175.26</v>
      </c>
      <c r="T279" s="10">
        <v>7.012648</v>
      </c>
      <c r="U279" s="26">
        <v>3.5718</v>
      </c>
      <c r="V279" s="26">
        <v>302.436</v>
      </c>
      <c r="W279" s="27">
        <f t="shared" si="4"/>
        <v>1.18101019719875</v>
      </c>
      <c r="X279" s="27">
        <v>67160</v>
      </c>
      <c r="Y279" s="10">
        <v>100219</v>
      </c>
      <c r="Z279" s="10">
        <v>905</v>
      </c>
      <c r="AA279" s="10">
        <v>24856</v>
      </c>
      <c r="AB279" s="10"/>
    </row>
    <row r="280" ht="21" spans="1:28">
      <c r="A280" s="10">
        <v>2014</v>
      </c>
      <c r="B280" s="10">
        <v>120000</v>
      </c>
      <c r="C280" s="24" t="s">
        <v>64</v>
      </c>
      <c r="D280" s="10">
        <v>3480.89</v>
      </c>
      <c r="E280" s="10">
        <v>397.65</v>
      </c>
      <c r="F280" s="10">
        <v>3.7</v>
      </c>
      <c r="G280" s="10">
        <v>15.3507</v>
      </c>
      <c r="H280" s="10">
        <v>351.908</v>
      </c>
      <c r="I280" s="10">
        <v>3.6213</v>
      </c>
      <c r="J280" s="10">
        <v>906.884</v>
      </c>
      <c r="K280" s="10">
        <v>207.53</v>
      </c>
      <c r="L280" s="10">
        <v>53.7869</v>
      </c>
      <c r="M280" s="10">
        <v>7.0641</v>
      </c>
      <c r="N280" s="10">
        <v>1946.5</v>
      </c>
      <c r="O280" s="10">
        <v>29.7218</v>
      </c>
      <c r="P280" s="10">
        <v>805.69</v>
      </c>
      <c r="Q280" s="10">
        <v>1351.79</v>
      </c>
      <c r="R280" s="10">
        <v>283.86</v>
      </c>
      <c r="S280" s="25">
        <v>200.16</v>
      </c>
      <c r="T280" s="10">
        <v>6.438464</v>
      </c>
      <c r="U280" s="26">
        <v>3.8477</v>
      </c>
      <c r="V280" s="26">
        <v>295.511</v>
      </c>
      <c r="W280" s="27">
        <f t="shared" si="4"/>
        <v>1.30204966989384</v>
      </c>
      <c r="X280" s="27">
        <v>73195</v>
      </c>
      <c r="Y280" s="10">
        <v>113335</v>
      </c>
      <c r="Z280" s="10">
        <v>839</v>
      </c>
      <c r="AA280" s="10">
        <v>26351</v>
      </c>
      <c r="AB280" s="10"/>
    </row>
    <row r="281" ht="21" spans="1:28">
      <c r="A281" s="10">
        <v>2015</v>
      </c>
      <c r="B281" s="10">
        <v>120000</v>
      </c>
      <c r="C281" s="24" t="s">
        <v>64</v>
      </c>
      <c r="D281" s="10">
        <v>3714</v>
      </c>
      <c r="E281" s="10">
        <v>470.24</v>
      </c>
      <c r="F281" s="10">
        <v>4.6082</v>
      </c>
      <c r="G281" s="10">
        <v>34.9</v>
      </c>
      <c r="H281" s="10"/>
      <c r="I281" s="10">
        <v>4.4</v>
      </c>
      <c r="J281" s="10">
        <v>1007.85</v>
      </c>
      <c r="K281" s="10">
        <v>261</v>
      </c>
      <c r="L281" s="10">
        <v>54</v>
      </c>
      <c r="M281" s="10">
        <v>9.1</v>
      </c>
      <c r="N281" s="10">
        <v>3148.64</v>
      </c>
      <c r="O281" s="10">
        <v>30.5353</v>
      </c>
      <c r="P281" s="10">
        <v>958.11</v>
      </c>
      <c r="Q281" s="10">
        <v>1369.74</v>
      </c>
      <c r="R281" s="10">
        <v>318.569</v>
      </c>
      <c r="S281" s="25">
        <v>237.53</v>
      </c>
      <c r="T281" s="10">
        <v>10.14111</v>
      </c>
      <c r="U281" s="26">
        <v>4.3541</v>
      </c>
      <c r="V281" s="26">
        <v>294.78</v>
      </c>
      <c r="W281" s="27">
        <f t="shared" si="4"/>
        <v>1.47706764366646</v>
      </c>
      <c r="X281" s="27">
        <v>75586</v>
      </c>
      <c r="Y281" s="10">
        <v>124321</v>
      </c>
      <c r="Z281" s="10">
        <v>1062</v>
      </c>
      <c r="AA281" s="10">
        <v>37342</v>
      </c>
      <c r="AB281" s="10"/>
    </row>
    <row r="282" ht="21" spans="1:28">
      <c r="A282" s="10">
        <v>2016</v>
      </c>
      <c r="B282" s="10">
        <v>120000</v>
      </c>
      <c r="C282" s="24" t="s">
        <v>64</v>
      </c>
      <c r="D282" s="10">
        <v>3776.36</v>
      </c>
      <c r="E282" s="10">
        <v>724.325</v>
      </c>
      <c r="F282" s="10">
        <v>5.6562</v>
      </c>
      <c r="G282" s="10">
        <v>35.3755</v>
      </c>
      <c r="H282" s="10"/>
      <c r="I282" s="10">
        <v>5.1168</v>
      </c>
      <c r="J282" s="10">
        <v>1185.85</v>
      </c>
      <c r="K282" s="10">
        <v>183.09</v>
      </c>
      <c r="L282" s="10">
        <v>52.8</v>
      </c>
      <c r="M282" s="10">
        <v>8.4</v>
      </c>
      <c r="N282" s="10">
        <v>3034.98</v>
      </c>
      <c r="O282" s="10">
        <v>32.8534</v>
      </c>
      <c r="P282" s="10">
        <v>1125.42</v>
      </c>
      <c r="Q282" s="10">
        <v>1499.76</v>
      </c>
      <c r="R282" s="10">
        <v>335.05</v>
      </c>
      <c r="S282" s="25">
        <v>245.84</v>
      </c>
      <c r="T282" s="10">
        <v>14.81127</v>
      </c>
      <c r="U282" s="26">
        <v>4.8475</v>
      </c>
      <c r="V282" s="26">
        <v>286.045</v>
      </c>
      <c r="W282" s="27">
        <f t="shared" si="4"/>
        <v>1.69466342708315</v>
      </c>
      <c r="X282" s="27">
        <v>79590</v>
      </c>
      <c r="Y282" s="10">
        <v>119384</v>
      </c>
      <c r="Z282" s="10">
        <v>951</v>
      </c>
      <c r="AA282" s="10">
        <v>39734</v>
      </c>
      <c r="AB282" s="10"/>
    </row>
    <row r="283" ht="21" spans="1:28">
      <c r="A283" s="10">
        <v>2017</v>
      </c>
      <c r="B283" s="10">
        <v>120000</v>
      </c>
      <c r="C283" s="24" t="s">
        <v>64</v>
      </c>
      <c r="D283" s="10">
        <v>4135.36</v>
      </c>
      <c r="E283" s="10">
        <v>795.305</v>
      </c>
      <c r="F283" s="10">
        <v>5.5789</v>
      </c>
      <c r="G283" s="10">
        <v>26.5043</v>
      </c>
      <c r="H283" s="10">
        <v>355.64</v>
      </c>
      <c r="I283" s="10">
        <v>5.8202</v>
      </c>
      <c r="J283" s="10">
        <v>1351.94</v>
      </c>
      <c r="K283" s="10">
        <v>300.672</v>
      </c>
      <c r="L283" s="10">
        <v>52</v>
      </c>
      <c r="M283" s="10">
        <v>6.6</v>
      </c>
      <c r="N283" s="10">
        <v>2629.41</v>
      </c>
      <c r="O283" s="10">
        <v>36.6297</v>
      </c>
      <c r="P283" s="10">
        <v>1309.56</v>
      </c>
      <c r="Q283" s="10">
        <v>1580.14</v>
      </c>
      <c r="R283" s="10">
        <v>341.53</v>
      </c>
      <c r="S283" s="25">
        <v>284.03</v>
      </c>
      <c r="T283" s="10">
        <v>20.87246</v>
      </c>
      <c r="U283" s="26">
        <v>5.3464</v>
      </c>
      <c r="V283" s="26">
        <v>269.478</v>
      </c>
      <c r="W283" s="27">
        <f t="shared" si="4"/>
        <v>1.98398385025865</v>
      </c>
      <c r="X283" s="27">
        <v>79010</v>
      </c>
      <c r="Y283" s="10">
        <v>103087</v>
      </c>
      <c r="Z283" s="10">
        <v>561</v>
      </c>
      <c r="AA283" s="10">
        <v>41675</v>
      </c>
      <c r="AB283" s="10"/>
    </row>
    <row r="284" ht="21" spans="1:28">
      <c r="A284" s="10">
        <v>2018</v>
      </c>
      <c r="B284" s="10">
        <v>120000</v>
      </c>
      <c r="C284" s="24" t="s">
        <v>64</v>
      </c>
      <c r="D284" s="10">
        <v>4146.27</v>
      </c>
      <c r="E284" s="10">
        <v>897.37</v>
      </c>
      <c r="F284" s="10">
        <v>6.6515</v>
      </c>
      <c r="G284" s="10">
        <v>26.7328</v>
      </c>
      <c r="H284" s="10">
        <v>355.871</v>
      </c>
      <c r="I284" s="10">
        <v>5.4287</v>
      </c>
      <c r="J284" s="10">
        <v>1640.59</v>
      </c>
      <c r="K284" s="10">
        <v>737.82</v>
      </c>
      <c r="L284" s="10">
        <v>47</v>
      </c>
      <c r="M284" s="10">
        <v>6.59492</v>
      </c>
      <c r="N284" s="10">
        <v>3106.01</v>
      </c>
      <c r="O284" s="10">
        <v>36.8274</v>
      </c>
      <c r="P284" s="10">
        <v>1352.46</v>
      </c>
      <c r="Q284" s="10">
        <v>1648.49</v>
      </c>
      <c r="R284" s="10">
        <v>347.99</v>
      </c>
      <c r="S284" s="25">
        <v>316.88</v>
      </c>
      <c r="T284" s="10">
        <v>19.86785</v>
      </c>
      <c r="U284" s="26">
        <v>6.4241</v>
      </c>
      <c r="V284" s="26">
        <v>259.987</v>
      </c>
      <c r="W284" s="27">
        <f t="shared" si="4"/>
        <v>2.47093123886964</v>
      </c>
      <c r="X284" s="27">
        <v>78461</v>
      </c>
      <c r="Y284" s="10">
        <v>99490.1</v>
      </c>
      <c r="Z284" s="10">
        <v>481</v>
      </c>
      <c r="AA284" s="10">
        <v>54680</v>
      </c>
      <c r="AB284" s="10"/>
    </row>
    <row r="285" ht="21" spans="1:28">
      <c r="A285" s="10">
        <v>2019</v>
      </c>
      <c r="B285" s="10">
        <v>120000</v>
      </c>
      <c r="C285" s="24" t="s">
        <v>64</v>
      </c>
      <c r="D285" s="10">
        <v>4323.13</v>
      </c>
      <c r="E285" s="10">
        <v>1092.6</v>
      </c>
      <c r="F285" s="10">
        <v>10.118</v>
      </c>
      <c r="G285" s="10">
        <v>33.4146</v>
      </c>
      <c r="H285" s="10">
        <v>356.048</v>
      </c>
      <c r="I285" s="10">
        <v>4.91815</v>
      </c>
      <c r="J285" s="10">
        <v>2026.12</v>
      </c>
      <c r="K285" s="10">
        <v>1194.6</v>
      </c>
      <c r="L285" s="10">
        <v>43.4</v>
      </c>
      <c r="M285" s="10">
        <v>7.3</v>
      </c>
      <c r="N285" s="10">
        <v>3226.27</v>
      </c>
      <c r="O285" s="10">
        <v>38.9156</v>
      </c>
      <c r="P285" s="10">
        <v>1450.71</v>
      </c>
      <c r="Q285" s="10">
        <v>1704.72</v>
      </c>
      <c r="R285" s="10">
        <v>351.12</v>
      </c>
      <c r="S285" s="25">
        <v>344.11</v>
      </c>
      <c r="T285" s="10">
        <v>25.10019</v>
      </c>
      <c r="U285" s="26">
        <v>6.5728</v>
      </c>
      <c r="V285" s="26">
        <v>269.354</v>
      </c>
      <c r="W285" s="27">
        <f t="shared" si="4"/>
        <v>2.44020879585972</v>
      </c>
      <c r="X285" s="27">
        <v>79655</v>
      </c>
      <c r="Y285" s="10">
        <v>92502.1</v>
      </c>
      <c r="Z285" s="10">
        <v>515</v>
      </c>
      <c r="AA285" s="10">
        <v>57799</v>
      </c>
      <c r="AB285" s="10"/>
    </row>
    <row r="286" ht="21" spans="1:28">
      <c r="A286" s="10">
        <v>2020</v>
      </c>
      <c r="B286" s="10">
        <v>120000</v>
      </c>
      <c r="C286" s="24" t="s">
        <v>64</v>
      </c>
      <c r="D286" s="10">
        <v>4585</v>
      </c>
      <c r="E286" s="10">
        <v>1254.6</v>
      </c>
      <c r="F286" s="10">
        <v>11.4</v>
      </c>
      <c r="G286" s="10">
        <v>33.7</v>
      </c>
      <c r="H286" s="10">
        <v>357.7</v>
      </c>
      <c r="I286" s="10">
        <v>4.4076</v>
      </c>
      <c r="J286" s="10">
        <v>2374.93</v>
      </c>
      <c r="K286" s="10">
        <v>1584.54</v>
      </c>
      <c r="L286" s="10">
        <v>40</v>
      </c>
      <c r="M286" s="10">
        <v>6.8</v>
      </c>
      <c r="N286" s="10">
        <v>4342</v>
      </c>
      <c r="O286" s="10">
        <v>43</v>
      </c>
      <c r="P286" s="10">
        <v>1488.8</v>
      </c>
      <c r="Q286" s="10">
        <v>1711</v>
      </c>
      <c r="R286" s="10">
        <v>353.6</v>
      </c>
      <c r="S286" s="25">
        <v>361.46</v>
      </c>
      <c r="T286" s="10">
        <v>39.28683</v>
      </c>
      <c r="U286" s="26">
        <v>6.9681</v>
      </c>
      <c r="V286" s="26">
        <v>255.332</v>
      </c>
      <c r="W286" s="27">
        <f t="shared" si="4"/>
        <v>2.72903513856469</v>
      </c>
      <c r="X286" s="27">
        <v>84316</v>
      </c>
      <c r="Y286" s="10">
        <v>90639.5</v>
      </c>
      <c r="Z286" s="10">
        <v>601</v>
      </c>
      <c r="AA286" s="10">
        <v>75434</v>
      </c>
      <c r="AB286" s="10"/>
    </row>
    <row r="287" ht="21" spans="1:28">
      <c r="A287" s="10">
        <v>2021</v>
      </c>
      <c r="B287" s="10">
        <v>120000</v>
      </c>
      <c r="C287" s="24" t="s">
        <v>64</v>
      </c>
      <c r="D287" s="10">
        <v>3989.68</v>
      </c>
      <c r="E287" s="10">
        <v>1352.47</v>
      </c>
      <c r="F287" s="10">
        <v>12.8544</v>
      </c>
      <c r="G287" s="10">
        <v>30.2823</v>
      </c>
      <c r="H287" s="10">
        <v>356.062</v>
      </c>
      <c r="I287" s="10">
        <v>4.9934</v>
      </c>
      <c r="J287" s="10">
        <v>2658.36</v>
      </c>
      <c r="K287" s="10">
        <v>207.71</v>
      </c>
      <c r="L287" s="10">
        <v>38.6</v>
      </c>
      <c r="M287" s="10">
        <v>7.3</v>
      </c>
      <c r="N287" s="10">
        <v>5403.41</v>
      </c>
      <c r="O287" s="10">
        <v>44.5492</v>
      </c>
      <c r="P287" s="10">
        <v>1536.83</v>
      </c>
      <c r="Q287" s="10">
        <v>1745.1</v>
      </c>
      <c r="R287" s="10">
        <v>356.05</v>
      </c>
      <c r="S287" s="25">
        <v>379.23</v>
      </c>
      <c r="T287" s="10">
        <v>29.76625</v>
      </c>
      <c r="U287" s="26">
        <v>8.2716</v>
      </c>
      <c r="V287" s="26">
        <v>256.445</v>
      </c>
      <c r="W287" s="27">
        <f t="shared" si="4"/>
        <v>3.22548694651875</v>
      </c>
      <c r="X287" s="27">
        <v>84843</v>
      </c>
      <c r="Y287" s="10">
        <v>102986</v>
      </c>
      <c r="Z287" s="10">
        <v>639</v>
      </c>
      <c r="AA287" s="10">
        <v>97910</v>
      </c>
      <c r="AB287" s="10"/>
    </row>
    <row r="288" ht="21" spans="1:28">
      <c r="A288" s="10">
        <v>2022</v>
      </c>
      <c r="B288" s="10">
        <v>120000</v>
      </c>
      <c r="C288" s="24" t="s">
        <v>64</v>
      </c>
      <c r="D288" s="10">
        <v>4442.46</v>
      </c>
      <c r="E288" s="10">
        <v>1420.36</v>
      </c>
      <c r="F288" s="10">
        <v>14.1792</v>
      </c>
      <c r="G288" s="10">
        <v>21.8166</v>
      </c>
      <c r="H288" s="10">
        <v>360.389</v>
      </c>
      <c r="I288" s="10">
        <v>4.9147</v>
      </c>
      <c r="J288" s="10">
        <v>2813.08</v>
      </c>
      <c r="K288" s="10">
        <v>200.576</v>
      </c>
      <c r="L288" s="10">
        <v>32.1</v>
      </c>
      <c r="M288" s="10">
        <v>7.77072</v>
      </c>
      <c r="N288" s="10">
        <v>6974.95</v>
      </c>
      <c r="O288" s="10">
        <v>45.2267</v>
      </c>
      <c r="P288" s="10">
        <v>1572.08</v>
      </c>
      <c r="Q288" s="10">
        <v>1810.09</v>
      </c>
      <c r="R288" s="10">
        <v>357.484</v>
      </c>
      <c r="S288" s="25">
        <v>397.91</v>
      </c>
      <c r="T288" s="10">
        <v>31.26709</v>
      </c>
      <c r="U288" s="26">
        <v>7.0111</v>
      </c>
      <c r="V288" s="26">
        <v>243.341</v>
      </c>
      <c r="W288" s="27">
        <f t="shared" si="4"/>
        <v>2.88118319559795</v>
      </c>
      <c r="X288" s="27">
        <v>90370</v>
      </c>
      <c r="Y288" s="10">
        <v>103499</v>
      </c>
      <c r="Z288" s="10">
        <v>643</v>
      </c>
      <c r="AA288" s="10">
        <v>71545</v>
      </c>
      <c r="AB288" s="10"/>
    </row>
    <row r="289" ht="21" spans="1:28">
      <c r="A289" s="10">
        <v>2023</v>
      </c>
      <c r="B289" s="10">
        <v>120000</v>
      </c>
      <c r="C289" s="24" t="s">
        <v>64</v>
      </c>
      <c r="D289" s="10">
        <v>4653</v>
      </c>
      <c r="E289" s="10">
        <v>1517.3</v>
      </c>
      <c r="F289" s="10">
        <v>15.6</v>
      </c>
      <c r="G289" s="10">
        <v>20.7</v>
      </c>
      <c r="H289" s="10">
        <v>356.854</v>
      </c>
      <c r="I289" s="10">
        <v>5.0362</v>
      </c>
      <c r="J289" s="10">
        <v>3119.48</v>
      </c>
      <c r="K289" s="10">
        <v>205.92</v>
      </c>
      <c r="L289" s="10">
        <v>31.5364</v>
      </c>
      <c r="M289" s="10">
        <v>9.61111</v>
      </c>
      <c r="N289" s="10">
        <v>8267.54</v>
      </c>
      <c r="O289" s="10">
        <v>47.9652</v>
      </c>
      <c r="P289" s="10">
        <v>1644.7</v>
      </c>
      <c r="Q289" s="10">
        <v>1907.5</v>
      </c>
      <c r="R289" s="10"/>
      <c r="S289" s="25">
        <v>417.59</v>
      </c>
      <c r="T289" s="10">
        <v>36.75307</v>
      </c>
      <c r="U289" s="26">
        <v>4.7227</v>
      </c>
      <c r="V289" s="26">
        <v>219.044</v>
      </c>
      <c r="W289" s="27">
        <f t="shared" si="4"/>
        <v>2.15605083910082</v>
      </c>
      <c r="X289" s="27">
        <v>91377</v>
      </c>
      <c r="Y289" s="10">
        <v>110094</v>
      </c>
      <c r="Z289" s="10">
        <v>637</v>
      </c>
      <c r="AA289" s="10">
        <v>59154</v>
      </c>
      <c r="AB289" s="10"/>
    </row>
    <row r="290" ht="21" spans="1:28">
      <c r="A290" s="10">
        <v>2013</v>
      </c>
      <c r="B290" s="10">
        <v>540000</v>
      </c>
      <c r="C290" s="24" t="s">
        <v>65</v>
      </c>
      <c r="D290" s="10">
        <v>30360</v>
      </c>
      <c r="E290" s="10">
        <v>44.1</v>
      </c>
      <c r="F290" s="10">
        <v>0.89</v>
      </c>
      <c r="G290" s="10">
        <v>0.4989</v>
      </c>
      <c r="H290" s="10">
        <v>37.7856</v>
      </c>
      <c r="I290" s="10">
        <v>0.0912</v>
      </c>
      <c r="J290" s="10">
        <v>20.7455</v>
      </c>
      <c r="K290" s="10">
        <v>39.6501</v>
      </c>
      <c r="L290" s="10">
        <v>42.5051</v>
      </c>
      <c r="M290" s="10">
        <v>3.6961</v>
      </c>
      <c r="N290" s="10">
        <v>33.7554</v>
      </c>
      <c r="O290" s="10">
        <v>22.4536</v>
      </c>
      <c r="P290" s="10"/>
      <c r="Q290" s="10">
        <v>265.6</v>
      </c>
      <c r="R290" s="10">
        <v>13.06</v>
      </c>
      <c r="S290" s="25">
        <v>115.1</v>
      </c>
      <c r="T290" s="10">
        <v>0.0309603</v>
      </c>
      <c r="U290" s="26">
        <v>0.5081</v>
      </c>
      <c r="V290" s="26">
        <v>31.0217</v>
      </c>
      <c r="W290" s="27">
        <f t="shared" si="4"/>
        <v>1.63788573804788</v>
      </c>
      <c r="X290" s="27">
        <v>4818</v>
      </c>
      <c r="Y290" s="10">
        <v>1202.9</v>
      </c>
      <c r="Z290" s="10">
        <v>6</v>
      </c>
      <c r="AA290" s="10">
        <v>121</v>
      </c>
      <c r="AB290" s="10"/>
    </row>
    <row r="291" ht="21" spans="1:28">
      <c r="A291" s="10">
        <v>2014</v>
      </c>
      <c r="B291" s="10">
        <v>540000</v>
      </c>
      <c r="C291" s="24" t="s">
        <v>65</v>
      </c>
      <c r="D291" s="10">
        <v>38297.2</v>
      </c>
      <c r="E291" s="10">
        <v>48.09</v>
      </c>
      <c r="F291" s="10">
        <v>1.1</v>
      </c>
      <c r="G291" s="10">
        <v>0.8645</v>
      </c>
      <c r="H291" s="10">
        <v>43.1585</v>
      </c>
      <c r="I291" s="10">
        <v>0.0965</v>
      </c>
      <c r="J291" s="10">
        <v>21.9228</v>
      </c>
      <c r="K291" s="10">
        <v>45.43</v>
      </c>
      <c r="L291" s="10">
        <v>56.1139</v>
      </c>
      <c r="M291" s="10">
        <v>8.20771</v>
      </c>
      <c r="N291" s="10">
        <v>40.1907</v>
      </c>
      <c r="O291" s="10">
        <v>25.8354</v>
      </c>
      <c r="P291" s="10">
        <v>195.57</v>
      </c>
      <c r="Q291" s="10">
        <v>291.82</v>
      </c>
      <c r="R291" s="10">
        <v>14.8572</v>
      </c>
      <c r="S291" s="25">
        <v>143.91</v>
      </c>
      <c r="T291" s="10">
        <v>0.0006763</v>
      </c>
      <c r="U291" s="26">
        <v>0.5084</v>
      </c>
      <c r="V291" s="26">
        <v>32.5439</v>
      </c>
      <c r="W291" s="27">
        <f t="shared" si="4"/>
        <v>1.56219752395994</v>
      </c>
      <c r="X291" s="27">
        <v>4891</v>
      </c>
      <c r="Y291" s="10">
        <v>1262</v>
      </c>
      <c r="Z291" s="10">
        <v>3</v>
      </c>
      <c r="AA291" s="10">
        <v>146</v>
      </c>
      <c r="AB291" s="10"/>
    </row>
    <row r="292" ht="21" spans="1:28">
      <c r="A292" s="10">
        <v>2015</v>
      </c>
      <c r="B292" s="10">
        <v>540000</v>
      </c>
      <c r="C292" s="24" t="s">
        <v>65</v>
      </c>
      <c r="D292" s="10">
        <v>33073</v>
      </c>
      <c r="E292" s="10">
        <v>51.01</v>
      </c>
      <c r="F292" s="10">
        <v>1.6876</v>
      </c>
      <c r="G292" s="10">
        <v>1.1</v>
      </c>
      <c r="H292" s="10"/>
      <c r="I292" s="10">
        <v>0.1</v>
      </c>
      <c r="J292" s="10">
        <v>23.4397</v>
      </c>
      <c r="K292" s="10">
        <v>53.79</v>
      </c>
      <c r="L292" s="10">
        <v>65</v>
      </c>
      <c r="M292" s="10">
        <v>12.6</v>
      </c>
      <c r="N292" s="10">
        <v>31.4032</v>
      </c>
      <c r="O292" s="10">
        <v>29</v>
      </c>
      <c r="P292" s="10">
        <v>162.35</v>
      </c>
      <c r="Q292" s="10">
        <v>268.67</v>
      </c>
      <c r="R292" s="10">
        <v>16.8643</v>
      </c>
      <c r="S292" s="25">
        <v>186.38</v>
      </c>
      <c r="T292" s="10">
        <v>0.0005679</v>
      </c>
      <c r="U292" s="26">
        <v>0.489</v>
      </c>
      <c r="V292" s="26">
        <v>33.3896</v>
      </c>
      <c r="W292" s="27">
        <f t="shared" si="4"/>
        <v>1.46452787694372</v>
      </c>
      <c r="X292" s="27">
        <v>5060</v>
      </c>
      <c r="Y292" s="10">
        <v>1129.7</v>
      </c>
      <c r="Z292" s="10">
        <v>2</v>
      </c>
      <c r="AA292" s="10">
        <v>198</v>
      </c>
      <c r="AB292" s="10"/>
    </row>
    <row r="293" ht="21" spans="1:28">
      <c r="A293" s="10">
        <v>2016</v>
      </c>
      <c r="B293" s="10">
        <v>540000</v>
      </c>
      <c r="C293" s="24" t="s">
        <v>65</v>
      </c>
      <c r="D293" s="10">
        <v>35713</v>
      </c>
      <c r="E293" s="10">
        <v>107.154</v>
      </c>
      <c r="F293" s="10">
        <v>2.2132</v>
      </c>
      <c r="G293" s="10">
        <v>1.0475</v>
      </c>
      <c r="H293" s="10"/>
      <c r="I293" s="10">
        <v>0.1228</v>
      </c>
      <c r="J293" s="10">
        <v>32.2829</v>
      </c>
      <c r="K293" s="10">
        <v>32.95</v>
      </c>
      <c r="L293" s="10">
        <v>68.1</v>
      </c>
      <c r="M293" s="10">
        <v>17.5</v>
      </c>
      <c r="N293" s="10">
        <v>73.132</v>
      </c>
      <c r="O293" s="10">
        <v>29.8826</v>
      </c>
      <c r="P293" s="10">
        <v>176.22</v>
      </c>
      <c r="Q293" s="10">
        <v>284.35</v>
      </c>
      <c r="R293" s="10">
        <v>18.39</v>
      </c>
      <c r="S293" s="25">
        <v>204.73</v>
      </c>
      <c r="T293" s="10">
        <v>0.2928491</v>
      </c>
      <c r="U293" s="26">
        <v>0.4815</v>
      </c>
      <c r="V293" s="26">
        <v>31.5063</v>
      </c>
      <c r="W293" s="27">
        <f t="shared" si="4"/>
        <v>1.52826577541635</v>
      </c>
      <c r="X293" s="27">
        <v>5203</v>
      </c>
      <c r="Y293" s="10">
        <v>1126.4</v>
      </c>
      <c r="Z293" s="10">
        <v>5</v>
      </c>
      <c r="AA293" s="10">
        <v>245</v>
      </c>
      <c r="AB293" s="10"/>
    </row>
    <row r="294" ht="21" spans="1:28">
      <c r="A294" s="10">
        <v>2017</v>
      </c>
      <c r="B294" s="10">
        <v>540000</v>
      </c>
      <c r="C294" s="24" t="s">
        <v>65</v>
      </c>
      <c r="D294" s="10">
        <v>36584</v>
      </c>
      <c r="E294" s="10">
        <v>154.599</v>
      </c>
      <c r="F294" s="10">
        <v>3.1422</v>
      </c>
      <c r="G294" s="10">
        <v>1.7882</v>
      </c>
      <c r="H294" s="10">
        <v>44.0316</v>
      </c>
      <c r="I294" s="10">
        <v>0.1547</v>
      </c>
      <c r="J294" s="10">
        <v>29.1766</v>
      </c>
      <c r="K294" s="10">
        <v>45.2095</v>
      </c>
      <c r="L294" s="10">
        <v>63</v>
      </c>
      <c r="M294" s="10">
        <v>12.4</v>
      </c>
      <c r="N294" s="10">
        <v>77.6293</v>
      </c>
      <c r="O294" s="10">
        <v>36.9918</v>
      </c>
      <c r="P294" s="10">
        <v>198.669</v>
      </c>
      <c r="Q294" s="10">
        <v>290.31</v>
      </c>
      <c r="R294" s="10">
        <v>19.81</v>
      </c>
      <c r="S294" s="25">
        <v>245.57</v>
      </c>
      <c r="T294" s="10">
        <v>0.6342228</v>
      </c>
      <c r="U294" s="26">
        <v>0.5241</v>
      </c>
      <c r="V294" s="26">
        <v>33.2977</v>
      </c>
      <c r="W294" s="27">
        <f t="shared" si="4"/>
        <v>1.57398258738592</v>
      </c>
      <c r="X294" s="27">
        <v>5493</v>
      </c>
      <c r="Y294" s="10">
        <v>1249</v>
      </c>
      <c r="Z294" s="10">
        <v>4</v>
      </c>
      <c r="AA294" s="10">
        <v>420</v>
      </c>
      <c r="AB294" s="10"/>
    </row>
    <row r="295" ht="21" spans="1:28">
      <c r="A295" s="10">
        <v>2018</v>
      </c>
      <c r="B295" s="10">
        <v>540000</v>
      </c>
      <c r="C295" s="24" t="s">
        <v>65</v>
      </c>
      <c r="D295" s="10">
        <v>35418.9</v>
      </c>
      <c r="E295" s="10">
        <v>194.31</v>
      </c>
      <c r="F295" s="10">
        <v>3.815</v>
      </c>
      <c r="G295" s="10">
        <v>1.2046</v>
      </c>
      <c r="H295" s="10">
        <v>44.0602</v>
      </c>
      <c r="I295" s="10">
        <v>0.148</v>
      </c>
      <c r="J295" s="10">
        <v>37.1751</v>
      </c>
      <c r="K295" s="10">
        <v>112.47</v>
      </c>
      <c r="L295" s="10">
        <v>59</v>
      </c>
      <c r="M295" s="10">
        <v>11.1809</v>
      </c>
      <c r="N295" s="10">
        <v>119.322</v>
      </c>
      <c r="O295" s="10">
        <v>34.435</v>
      </c>
      <c r="P295" s="10">
        <v>260.23</v>
      </c>
      <c r="Q295" s="10">
        <v>312.34</v>
      </c>
      <c r="R295" s="10">
        <v>21.52</v>
      </c>
      <c r="S295" s="25">
        <v>274.33</v>
      </c>
      <c r="T295" s="10">
        <v>0.7132157</v>
      </c>
      <c r="U295" s="26">
        <v>0.4421</v>
      </c>
      <c r="V295" s="26">
        <v>36.8949</v>
      </c>
      <c r="W295" s="27">
        <f t="shared" si="4"/>
        <v>1.19826859538852</v>
      </c>
      <c r="X295" s="27">
        <v>5609</v>
      </c>
      <c r="Y295" s="10">
        <v>1568.7</v>
      </c>
      <c r="Z295" s="10"/>
      <c r="AA295" s="10">
        <v>755</v>
      </c>
      <c r="AB295" s="10"/>
    </row>
    <row r="296" ht="21" spans="1:28">
      <c r="A296" s="10">
        <v>2019</v>
      </c>
      <c r="B296" s="10">
        <v>540000</v>
      </c>
      <c r="C296" s="24" t="s">
        <v>65</v>
      </c>
      <c r="D296" s="10">
        <v>40622.8</v>
      </c>
      <c r="E296" s="10">
        <v>209.093</v>
      </c>
      <c r="F296" s="10">
        <v>5.006</v>
      </c>
      <c r="G296" s="10">
        <v>2.0058</v>
      </c>
      <c r="H296" s="10">
        <v>44.0821</v>
      </c>
      <c r="I296" s="10">
        <v>0.1512</v>
      </c>
      <c r="J296" s="10">
        <v>40.8243</v>
      </c>
      <c r="K296" s="10">
        <v>301.372</v>
      </c>
      <c r="L296" s="10">
        <v>64.4</v>
      </c>
      <c r="M296" s="10">
        <v>10.1</v>
      </c>
      <c r="N296" s="10">
        <v>156.627</v>
      </c>
      <c r="O296" s="10">
        <v>32.903</v>
      </c>
      <c r="P296" s="10">
        <v>267.343</v>
      </c>
      <c r="Q296" s="10">
        <v>321.443</v>
      </c>
      <c r="R296" s="10">
        <v>21.92</v>
      </c>
      <c r="S296" s="25">
        <v>293.79</v>
      </c>
      <c r="T296" s="10">
        <v>0.7482556</v>
      </c>
      <c r="U296" s="26">
        <v>0.8862</v>
      </c>
      <c r="V296" s="26">
        <v>44.8191</v>
      </c>
      <c r="W296" s="27">
        <f t="shared" si="4"/>
        <v>1.97728200700148</v>
      </c>
      <c r="X296" s="27">
        <v>5968</v>
      </c>
      <c r="Y296" s="10">
        <v>1750.9</v>
      </c>
      <c r="Z296" s="10">
        <v>5</v>
      </c>
      <c r="AA296" s="10">
        <v>1020</v>
      </c>
      <c r="AB296" s="10"/>
    </row>
    <row r="297" ht="21" spans="1:28">
      <c r="A297" s="10">
        <v>2020</v>
      </c>
      <c r="B297" s="10">
        <v>540000</v>
      </c>
      <c r="C297" s="24" t="s">
        <v>65</v>
      </c>
      <c r="D297" s="10">
        <v>40607</v>
      </c>
      <c r="E297" s="10">
        <v>219</v>
      </c>
      <c r="F297" s="10">
        <v>5.6</v>
      </c>
      <c r="G297" s="10">
        <v>1.6</v>
      </c>
      <c r="H297" s="10">
        <v>44.3</v>
      </c>
      <c r="I297" s="10">
        <v>0.1544</v>
      </c>
      <c r="J297" s="10">
        <v>39.69</v>
      </c>
      <c r="K297" s="10">
        <v>429.09</v>
      </c>
      <c r="L297" s="10">
        <v>47</v>
      </c>
      <c r="M297" s="10">
        <v>9.6</v>
      </c>
      <c r="N297" s="10">
        <v>75.2</v>
      </c>
      <c r="O297" s="10">
        <v>36</v>
      </c>
      <c r="P297" s="10">
        <v>279.1</v>
      </c>
      <c r="Q297" s="10">
        <v>321.9</v>
      </c>
      <c r="R297" s="10">
        <v>18.14</v>
      </c>
      <c r="S297" s="25">
        <v>310.53</v>
      </c>
      <c r="T297" s="10">
        <v>1.436147</v>
      </c>
      <c r="U297" s="26">
        <v>1.1049</v>
      </c>
      <c r="V297" s="26">
        <v>41.6618</v>
      </c>
      <c r="W297" s="27">
        <f t="shared" si="4"/>
        <v>2.65206976174817</v>
      </c>
      <c r="X297" s="27">
        <v>6020</v>
      </c>
      <c r="Y297" s="10">
        <v>1578.9</v>
      </c>
      <c r="Z297" s="10">
        <v>4</v>
      </c>
      <c r="AA297" s="10">
        <v>1702</v>
      </c>
      <c r="AB297" s="10"/>
    </row>
    <row r="298" ht="21" spans="1:28">
      <c r="A298" s="10">
        <v>2021</v>
      </c>
      <c r="B298" s="10">
        <v>540000</v>
      </c>
      <c r="C298" s="24" t="s">
        <v>65</v>
      </c>
      <c r="D298" s="10">
        <v>46358.3</v>
      </c>
      <c r="E298" s="10">
        <v>254.2</v>
      </c>
      <c r="F298" s="10">
        <v>6.0627</v>
      </c>
      <c r="G298" s="10">
        <v>1.3411</v>
      </c>
      <c r="H298" s="10">
        <v>43.52</v>
      </c>
      <c r="I298" s="10">
        <v>0.1737</v>
      </c>
      <c r="J298" s="10">
        <v>40.3637</v>
      </c>
      <c r="K298" s="10">
        <v>61.85</v>
      </c>
      <c r="L298" s="10">
        <v>44.8</v>
      </c>
      <c r="M298" s="10">
        <v>9.9</v>
      </c>
      <c r="N298" s="10">
        <v>152.219</v>
      </c>
      <c r="O298" s="10">
        <v>38.8562</v>
      </c>
      <c r="P298" s="10">
        <v>299.8</v>
      </c>
      <c r="Q298" s="10">
        <v>333.43</v>
      </c>
      <c r="R298" s="10">
        <v>26.5</v>
      </c>
      <c r="S298" s="25">
        <v>328.05</v>
      </c>
      <c r="T298" s="10">
        <v>0.8804062</v>
      </c>
      <c r="U298" s="26">
        <v>1.2732</v>
      </c>
      <c r="V298" s="26">
        <v>44.5385</v>
      </c>
      <c r="W298" s="27">
        <f t="shared" si="4"/>
        <v>2.85865038113093</v>
      </c>
      <c r="X298" s="27">
        <v>5847</v>
      </c>
      <c r="Y298" s="10">
        <v>1567.8</v>
      </c>
      <c r="Z298" s="10">
        <v>3</v>
      </c>
      <c r="AA298" s="10">
        <v>1929</v>
      </c>
      <c r="AB298" s="10"/>
    </row>
    <row r="299" ht="21" spans="1:28">
      <c r="A299" s="10">
        <v>2022</v>
      </c>
      <c r="B299" s="10">
        <v>540000</v>
      </c>
      <c r="C299" s="24" t="s">
        <v>65</v>
      </c>
      <c r="D299" s="10">
        <v>44016.6</v>
      </c>
      <c r="E299" s="10">
        <v>284.832</v>
      </c>
      <c r="F299" s="10">
        <v>6.1212</v>
      </c>
      <c r="G299" s="10">
        <v>1.3481</v>
      </c>
      <c r="H299" s="10">
        <v>44.6196</v>
      </c>
      <c r="I299" s="10">
        <v>0.1624</v>
      </c>
      <c r="J299" s="10">
        <v>36.1744</v>
      </c>
      <c r="K299" s="10">
        <v>60.1646</v>
      </c>
      <c r="L299" s="10">
        <v>41.9</v>
      </c>
      <c r="M299" s="10">
        <v>8.3499</v>
      </c>
      <c r="N299" s="29">
        <v>174.716</v>
      </c>
      <c r="O299" s="29">
        <v>41.8902</v>
      </c>
      <c r="P299" s="29">
        <v>301.077</v>
      </c>
      <c r="Q299" s="29">
        <v>329.924</v>
      </c>
      <c r="R299" s="29">
        <v>23.8899</v>
      </c>
      <c r="S299" s="25">
        <v>346.01</v>
      </c>
      <c r="T299" s="29">
        <v>0.9557908</v>
      </c>
      <c r="U299" s="26">
        <v>1.2491</v>
      </c>
      <c r="V299" s="26">
        <v>42.5877</v>
      </c>
      <c r="W299" s="27">
        <f t="shared" si="4"/>
        <v>2.93300647839634</v>
      </c>
      <c r="X299" s="30">
        <v>6326</v>
      </c>
      <c r="Y299" s="29">
        <v>1870.7</v>
      </c>
      <c r="Z299" s="29">
        <v>9</v>
      </c>
      <c r="AA299" s="29">
        <v>2127</v>
      </c>
      <c r="AB299" s="29"/>
    </row>
    <row r="300" ht="21" spans="1:28">
      <c r="A300" s="10">
        <v>2023</v>
      </c>
      <c r="B300" s="10">
        <v>540000</v>
      </c>
      <c r="C300" s="24" t="s">
        <v>65</v>
      </c>
      <c r="D300" s="10">
        <v>44840</v>
      </c>
      <c r="E300" s="10">
        <v>311.9</v>
      </c>
      <c r="F300" s="10">
        <v>6.3</v>
      </c>
      <c r="G300" s="10">
        <v>1.2</v>
      </c>
      <c r="H300" s="10">
        <v>44.6067</v>
      </c>
      <c r="I300" s="10">
        <v>0.1877</v>
      </c>
      <c r="J300" s="10">
        <v>30.2175</v>
      </c>
      <c r="K300" s="10">
        <v>60.85</v>
      </c>
      <c r="L300" s="10">
        <v>38.0734</v>
      </c>
      <c r="M300" s="10">
        <v>12.7294</v>
      </c>
      <c r="N300" s="29">
        <v>326.073</v>
      </c>
      <c r="O300" s="29">
        <v>41.1492</v>
      </c>
      <c r="P300" s="29">
        <v>317.8</v>
      </c>
      <c r="Q300" s="29">
        <v>342.5</v>
      </c>
      <c r="R300" s="29"/>
      <c r="S300" s="25">
        <v>364.17</v>
      </c>
      <c r="T300" s="29">
        <v>1.384932</v>
      </c>
      <c r="U300" s="26">
        <v>0.8083</v>
      </c>
      <c r="V300" s="26">
        <v>40.8217</v>
      </c>
      <c r="W300" s="27">
        <f t="shared" si="4"/>
        <v>1.98007432321535</v>
      </c>
      <c r="X300" s="30">
        <v>6851</v>
      </c>
      <c r="Y300" s="29">
        <v>1823.4</v>
      </c>
      <c r="Z300" s="29">
        <v>5</v>
      </c>
      <c r="AA300" s="29">
        <v>1877</v>
      </c>
      <c r="AB300" s="29"/>
    </row>
    <row r="301" ht="41" spans="1:28">
      <c r="A301" s="10">
        <v>2013</v>
      </c>
      <c r="B301" s="10">
        <v>650000</v>
      </c>
      <c r="C301" s="24" t="s">
        <v>66</v>
      </c>
      <c r="D301" s="10">
        <v>37620</v>
      </c>
      <c r="E301" s="10">
        <v>628.6</v>
      </c>
      <c r="F301" s="10">
        <v>4.9906</v>
      </c>
      <c r="G301" s="10">
        <v>4.0747</v>
      </c>
      <c r="H301" s="10">
        <v>193.024</v>
      </c>
      <c r="I301" s="10">
        <v>0.7595</v>
      </c>
      <c r="J301" s="10">
        <v>49.652</v>
      </c>
      <c r="K301" s="10">
        <v>298.288</v>
      </c>
      <c r="L301" s="10">
        <v>40.6498</v>
      </c>
      <c r="M301" s="10">
        <v>2.41294</v>
      </c>
      <c r="N301" s="29">
        <v>50.6395</v>
      </c>
      <c r="O301" s="29">
        <v>19.9448</v>
      </c>
      <c r="P301" s="29"/>
      <c r="Q301" s="29">
        <v>2133.9</v>
      </c>
      <c r="R301" s="29">
        <v>186.36</v>
      </c>
      <c r="S301" s="25">
        <v>143.4</v>
      </c>
      <c r="T301" s="29">
        <v>0.2633542</v>
      </c>
      <c r="U301" s="26">
        <v>2.8794</v>
      </c>
      <c r="V301" s="26">
        <v>309.509</v>
      </c>
      <c r="W301" s="27">
        <f t="shared" si="4"/>
        <v>0.930312204168538</v>
      </c>
      <c r="X301" s="30">
        <v>32020</v>
      </c>
      <c r="Y301" s="29">
        <v>15821.8</v>
      </c>
      <c r="Z301" s="29">
        <v>150</v>
      </c>
      <c r="AA301" s="29">
        <v>4998</v>
      </c>
      <c r="AB301" s="29"/>
    </row>
    <row r="302" ht="41" spans="1:28">
      <c r="A302" s="10">
        <v>2014</v>
      </c>
      <c r="B302" s="10">
        <v>650000</v>
      </c>
      <c r="C302" s="24" t="s">
        <v>66</v>
      </c>
      <c r="D302" s="10">
        <v>36818.6</v>
      </c>
      <c r="E302" s="10">
        <v>734.3</v>
      </c>
      <c r="F302" s="10">
        <v>6.8</v>
      </c>
      <c r="G302" s="10">
        <v>5.7172</v>
      </c>
      <c r="H302" s="10">
        <v>205.833</v>
      </c>
      <c r="I302" s="10">
        <v>0.7602</v>
      </c>
      <c r="J302" s="10">
        <v>49.7827</v>
      </c>
      <c r="K302" s="10">
        <v>329.03</v>
      </c>
      <c r="L302" s="10">
        <v>39.9384</v>
      </c>
      <c r="M302" s="10">
        <v>4.2575</v>
      </c>
      <c r="N302" s="29">
        <v>375.379</v>
      </c>
      <c r="O302" s="29">
        <v>21.7125</v>
      </c>
      <c r="P302" s="29">
        <v>1336.03</v>
      </c>
      <c r="Q302" s="29">
        <v>2077.39</v>
      </c>
      <c r="R302" s="29">
        <v>210.213</v>
      </c>
      <c r="S302" s="25">
        <v>163.67</v>
      </c>
      <c r="T302" s="29">
        <v>0.3809619</v>
      </c>
      <c r="U302" s="26">
        <v>2.7698</v>
      </c>
      <c r="V302" s="26">
        <v>316.648</v>
      </c>
      <c r="W302" s="27">
        <f t="shared" si="4"/>
        <v>0.874725246961926</v>
      </c>
      <c r="X302" s="30">
        <v>32608</v>
      </c>
      <c r="Y302" s="29">
        <v>15662</v>
      </c>
      <c r="Z302" s="29">
        <v>187</v>
      </c>
      <c r="AA302" s="29">
        <v>5238</v>
      </c>
      <c r="AB302" s="29"/>
    </row>
    <row r="303" ht="41" spans="1:28">
      <c r="A303" s="10">
        <v>2015</v>
      </c>
      <c r="B303" s="10">
        <v>650000</v>
      </c>
      <c r="C303" s="24" t="s">
        <v>66</v>
      </c>
      <c r="D303" s="10">
        <v>37375</v>
      </c>
      <c r="E303" s="10">
        <v>1023.79</v>
      </c>
      <c r="F303" s="10">
        <v>9.7397</v>
      </c>
      <c r="G303" s="10">
        <v>8.7</v>
      </c>
      <c r="H303" s="10"/>
      <c r="I303" s="10">
        <v>0.9</v>
      </c>
      <c r="J303" s="10">
        <v>45.4613</v>
      </c>
      <c r="K303" s="10">
        <v>382.55</v>
      </c>
      <c r="L303" s="10">
        <v>37</v>
      </c>
      <c r="M303" s="10">
        <v>6</v>
      </c>
      <c r="N303" s="29">
        <v>711.228</v>
      </c>
      <c r="O303" s="29">
        <v>22.5572</v>
      </c>
      <c r="P303" s="29">
        <v>1499.36</v>
      </c>
      <c r="Q303" s="29">
        <v>2028.36</v>
      </c>
      <c r="R303" s="29">
        <v>207.955</v>
      </c>
      <c r="S303" s="25">
        <v>205.49</v>
      </c>
      <c r="T303" s="29">
        <v>0.4380794</v>
      </c>
      <c r="U303" s="26">
        <v>2.8662</v>
      </c>
      <c r="V303" s="26">
        <v>317.248</v>
      </c>
      <c r="W303" s="27">
        <f t="shared" si="4"/>
        <v>0.903457232196893</v>
      </c>
      <c r="X303" s="30">
        <v>31080</v>
      </c>
      <c r="Y303" s="29">
        <v>16949.1</v>
      </c>
      <c r="Z303" s="29">
        <v>208</v>
      </c>
      <c r="AA303" s="29">
        <v>8761</v>
      </c>
      <c r="AB303" s="29"/>
    </row>
    <row r="304" ht="41" spans="1:28">
      <c r="A304" s="10">
        <v>2016</v>
      </c>
      <c r="B304" s="10">
        <v>650000</v>
      </c>
      <c r="C304" s="24" t="s">
        <v>66</v>
      </c>
      <c r="D304" s="10">
        <v>37578.6</v>
      </c>
      <c r="E304" s="10">
        <v>1323.9</v>
      </c>
      <c r="F304" s="10">
        <v>14.1759</v>
      </c>
      <c r="G304" s="10">
        <v>13.3669</v>
      </c>
      <c r="H304" s="10"/>
      <c r="I304" s="10">
        <v>1.0379</v>
      </c>
      <c r="J304" s="10">
        <v>73.3527</v>
      </c>
      <c r="K304" s="10">
        <v>252.85</v>
      </c>
      <c r="L304" s="10">
        <v>33.9</v>
      </c>
      <c r="M304" s="10">
        <v>6.2</v>
      </c>
      <c r="N304" s="29">
        <v>326.19</v>
      </c>
      <c r="O304" s="29">
        <v>24.8522</v>
      </c>
      <c r="P304" s="29">
        <v>1633.55</v>
      </c>
      <c r="Q304" s="29">
        <v>2132.05</v>
      </c>
      <c r="R304" s="29">
        <v>193.17</v>
      </c>
      <c r="S304" s="25">
        <v>208.72</v>
      </c>
      <c r="T304" s="29">
        <v>1.22948</v>
      </c>
      <c r="U304" s="26">
        <v>2.9006</v>
      </c>
      <c r="V304" s="26">
        <v>320.483</v>
      </c>
      <c r="W304" s="27">
        <f t="shared" si="4"/>
        <v>0.905071407843786</v>
      </c>
      <c r="X304" s="30">
        <v>32647</v>
      </c>
      <c r="Y304" s="29">
        <v>16945</v>
      </c>
      <c r="Z304" s="29">
        <v>220</v>
      </c>
      <c r="AA304" s="29">
        <v>7116</v>
      </c>
      <c r="AB304" s="29"/>
    </row>
    <row r="305" ht="41" spans="1:28">
      <c r="A305" s="10">
        <v>2017</v>
      </c>
      <c r="B305" s="10">
        <v>650000</v>
      </c>
      <c r="C305" s="24" t="s">
        <v>66</v>
      </c>
      <c r="D305" s="10">
        <v>44235.5</v>
      </c>
      <c r="E305" s="10">
        <v>1407.42</v>
      </c>
      <c r="F305" s="10">
        <v>15.5904</v>
      </c>
      <c r="G305" s="10">
        <v>8.2352</v>
      </c>
      <c r="H305" s="10">
        <v>203.223</v>
      </c>
      <c r="I305" s="10">
        <v>1.0611</v>
      </c>
      <c r="J305" s="10">
        <v>54.528</v>
      </c>
      <c r="K305" s="10">
        <v>333.275</v>
      </c>
      <c r="L305" s="10">
        <v>31</v>
      </c>
      <c r="M305" s="10">
        <v>5.2</v>
      </c>
      <c r="N305" s="29">
        <v>596.974</v>
      </c>
      <c r="O305" s="29">
        <v>25.906</v>
      </c>
      <c r="P305" s="29">
        <v>1855.84</v>
      </c>
      <c r="Q305" s="29">
        <v>2252.31</v>
      </c>
      <c r="R305" s="29">
        <v>166.91</v>
      </c>
      <c r="S305" s="25">
        <v>248.69</v>
      </c>
      <c r="T305" s="29">
        <v>1.65096</v>
      </c>
      <c r="U305" s="26">
        <v>2.8466</v>
      </c>
      <c r="V305" s="26">
        <v>335.007</v>
      </c>
      <c r="W305" s="27">
        <f t="shared" si="4"/>
        <v>0.849713588074279</v>
      </c>
      <c r="X305" s="30">
        <v>35679</v>
      </c>
      <c r="Y305" s="29">
        <v>15212</v>
      </c>
      <c r="Z305" s="29">
        <v>160</v>
      </c>
      <c r="AA305" s="29">
        <v>8094</v>
      </c>
      <c r="AB305" s="29"/>
    </row>
    <row r="306" ht="41" spans="1:28">
      <c r="A306" s="10">
        <v>2018</v>
      </c>
      <c r="B306" s="10">
        <v>650000</v>
      </c>
      <c r="C306" s="24" t="s">
        <v>66</v>
      </c>
      <c r="D306" s="10">
        <v>40929.1</v>
      </c>
      <c r="E306" s="10">
        <v>1678.63</v>
      </c>
      <c r="F306" s="10">
        <v>18.0988</v>
      </c>
      <c r="G306" s="10">
        <v>8.0104</v>
      </c>
      <c r="H306" s="10">
        <v>203.355</v>
      </c>
      <c r="I306" s="10">
        <v>0.9647</v>
      </c>
      <c r="J306" s="10">
        <v>76.431</v>
      </c>
      <c r="K306" s="10">
        <v>856.18</v>
      </c>
      <c r="L306" s="10">
        <v>31</v>
      </c>
      <c r="M306" s="10">
        <v>5.08243</v>
      </c>
      <c r="N306" s="29">
        <v>850.876</v>
      </c>
      <c r="O306" s="29">
        <v>27.7855</v>
      </c>
      <c r="P306" s="29">
        <v>1992.49</v>
      </c>
      <c r="Q306" s="29">
        <v>2703.78</v>
      </c>
      <c r="R306" s="29">
        <v>312.92</v>
      </c>
      <c r="S306" s="25">
        <v>271.84</v>
      </c>
      <c r="T306" s="29">
        <v>1.79891</v>
      </c>
      <c r="U306" s="26">
        <v>3.1479</v>
      </c>
      <c r="V306" s="26">
        <v>305.231</v>
      </c>
      <c r="W306" s="27">
        <f t="shared" si="4"/>
        <v>1.03131726462908</v>
      </c>
      <c r="X306" s="30">
        <v>34542</v>
      </c>
      <c r="Y306" s="29">
        <v>15022.1</v>
      </c>
      <c r="Z306" s="29">
        <v>124</v>
      </c>
      <c r="AA306" s="29">
        <v>9658</v>
      </c>
      <c r="AB306" s="29"/>
    </row>
    <row r="307" ht="41" spans="1:28">
      <c r="A307" s="10">
        <v>2019</v>
      </c>
      <c r="B307" s="10">
        <v>650000</v>
      </c>
      <c r="C307" s="24" t="s">
        <v>66</v>
      </c>
      <c r="D307" s="10">
        <v>47836.2</v>
      </c>
      <c r="E307" s="10">
        <v>1818.97</v>
      </c>
      <c r="F307" s="10">
        <v>20.1084</v>
      </c>
      <c r="G307" s="10">
        <v>15.868</v>
      </c>
      <c r="H307" s="10">
        <v>203.456</v>
      </c>
      <c r="I307" s="10">
        <v>0.89255</v>
      </c>
      <c r="J307" s="10">
        <v>76.2994</v>
      </c>
      <c r="K307" s="10">
        <v>2006</v>
      </c>
      <c r="L307" s="10">
        <v>25.8</v>
      </c>
      <c r="M307" s="10">
        <v>5.7</v>
      </c>
      <c r="N307" s="29">
        <v>718.787</v>
      </c>
      <c r="O307" s="29">
        <v>28.9711</v>
      </c>
      <c r="P307" s="29">
        <v>2138.19</v>
      </c>
      <c r="Q307" s="29">
        <v>2744.98</v>
      </c>
      <c r="R307" s="29">
        <v>305.72</v>
      </c>
      <c r="S307" s="25">
        <v>294.34</v>
      </c>
      <c r="T307" s="29">
        <v>2.540313</v>
      </c>
      <c r="U307" s="26">
        <v>3.6214</v>
      </c>
      <c r="V307" s="26">
        <v>318.78</v>
      </c>
      <c r="W307" s="27">
        <f t="shared" si="4"/>
        <v>1.13601857080118</v>
      </c>
      <c r="X307" s="30">
        <v>35939</v>
      </c>
      <c r="Y307" s="29">
        <v>13820.1</v>
      </c>
      <c r="Z307" s="29">
        <v>134</v>
      </c>
      <c r="AA307" s="29">
        <v>8652</v>
      </c>
      <c r="AB307" s="29"/>
    </row>
    <row r="308" ht="41" spans="1:28">
      <c r="A308" s="10">
        <v>2020</v>
      </c>
      <c r="B308" s="10">
        <v>650000</v>
      </c>
      <c r="C308" s="24" t="s">
        <v>66</v>
      </c>
      <c r="D308" s="10">
        <v>47079</v>
      </c>
      <c r="E308" s="10">
        <v>1943.8</v>
      </c>
      <c r="F308" s="10">
        <v>21.8</v>
      </c>
      <c r="G308" s="10">
        <v>13.2</v>
      </c>
      <c r="H308" s="10">
        <v>204.4</v>
      </c>
      <c r="I308" s="10">
        <v>0.8204</v>
      </c>
      <c r="J308" s="10">
        <v>62.37</v>
      </c>
      <c r="K308" s="10">
        <v>3092.05</v>
      </c>
      <c r="L308" s="10">
        <v>24</v>
      </c>
      <c r="M308" s="10">
        <v>6.2</v>
      </c>
      <c r="N308" s="29">
        <v>731.3</v>
      </c>
      <c r="O308" s="29">
        <v>30</v>
      </c>
      <c r="P308" s="29">
        <v>2359.2</v>
      </c>
      <c r="Q308" s="29">
        <v>2846.6</v>
      </c>
      <c r="R308" s="29">
        <v>305.66</v>
      </c>
      <c r="S308" s="25">
        <v>308.35</v>
      </c>
      <c r="T308" s="29">
        <v>4.677809</v>
      </c>
      <c r="U308" s="26">
        <v>3.9564</v>
      </c>
      <c r="V308" s="26">
        <v>323.023</v>
      </c>
      <c r="W308" s="27">
        <f t="shared" si="4"/>
        <v>1.22480442569105</v>
      </c>
      <c r="X308" s="30">
        <v>39905</v>
      </c>
      <c r="Y308" s="29">
        <v>14108.8</v>
      </c>
      <c r="Z308" s="29">
        <v>135</v>
      </c>
      <c r="AA308" s="29">
        <v>12763</v>
      </c>
      <c r="AB308" s="29"/>
    </row>
    <row r="309" ht="41" spans="1:28">
      <c r="A309" s="10">
        <v>2021</v>
      </c>
      <c r="B309" s="10">
        <v>650000</v>
      </c>
      <c r="C309" s="24" t="s">
        <v>66</v>
      </c>
      <c r="D309" s="10">
        <v>49256.5</v>
      </c>
      <c r="E309" s="10">
        <v>2251.64</v>
      </c>
      <c r="F309" s="10">
        <v>22.9852</v>
      </c>
      <c r="G309" s="10">
        <v>11.6876</v>
      </c>
      <c r="H309" s="10">
        <v>204.659</v>
      </c>
      <c r="I309" s="10">
        <v>0.9523</v>
      </c>
      <c r="J309" s="10">
        <v>73.0761</v>
      </c>
      <c r="K309" s="10">
        <v>371.43</v>
      </c>
      <c r="L309" s="10">
        <v>25.6</v>
      </c>
      <c r="M309" s="10">
        <v>6</v>
      </c>
      <c r="N309" s="29">
        <v>917.676</v>
      </c>
      <c r="O309" s="29">
        <v>31.5508</v>
      </c>
      <c r="P309" s="29">
        <v>2464.3</v>
      </c>
      <c r="Q309" s="29">
        <v>2965.41</v>
      </c>
      <c r="R309" s="29">
        <v>291.95</v>
      </c>
      <c r="S309" s="25">
        <v>323.18</v>
      </c>
      <c r="T309" s="29">
        <v>5.332193</v>
      </c>
      <c r="U309" s="26">
        <v>4.0684</v>
      </c>
      <c r="V309" s="26">
        <v>324.194</v>
      </c>
      <c r="W309" s="27">
        <f t="shared" si="4"/>
        <v>1.25492760507597</v>
      </c>
      <c r="X309" s="30">
        <v>44265</v>
      </c>
      <c r="Y309" s="29">
        <v>19243.5</v>
      </c>
      <c r="Z309" s="29">
        <v>163</v>
      </c>
      <c r="AA309" s="29">
        <v>21178</v>
      </c>
      <c r="AB309" s="29"/>
    </row>
    <row r="310" ht="41" spans="1:28">
      <c r="A310" s="10">
        <v>2022</v>
      </c>
      <c r="B310" s="10">
        <v>650000</v>
      </c>
      <c r="C310" s="24" t="s">
        <v>66</v>
      </c>
      <c r="D310" s="10">
        <v>48759.1</v>
      </c>
      <c r="E310" s="10">
        <v>2350.91</v>
      </c>
      <c r="F310" s="10">
        <v>24.2377</v>
      </c>
      <c r="G310" s="10">
        <v>8.4108</v>
      </c>
      <c r="H310" s="10">
        <v>205.937</v>
      </c>
      <c r="I310" s="10">
        <v>0.8917</v>
      </c>
      <c r="J310" s="10">
        <v>56.8972</v>
      </c>
      <c r="K310" s="10">
        <v>371.234</v>
      </c>
      <c r="L310" s="10">
        <v>21.1</v>
      </c>
      <c r="M310" s="10">
        <v>6.12747</v>
      </c>
      <c r="N310" s="10">
        <v>1725.87</v>
      </c>
      <c r="O310" s="10">
        <v>32.6173</v>
      </c>
      <c r="P310" s="10">
        <v>2435.38</v>
      </c>
      <c r="Q310" s="10">
        <v>2872.59</v>
      </c>
      <c r="R310" s="10">
        <v>289.069</v>
      </c>
      <c r="S310" s="25">
        <v>338.32</v>
      </c>
      <c r="T310" s="10">
        <v>6.184856</v>
      </c>
      <c r="U310" s="26">
        <v>4.4351</v>
      </c>
      <c r="V310" s="26">
        <v>317.131</v>
      </c>
      <c r="W310" s="27">
        <f t="shared" si="4"/>
        <v>1.39850724148696</v>
      </c>
      <c r="X310" s="27">
        <v>56258</v>
      </c>
      <c r="Y310" s="10">
        <v>21838.1</v>
      </c>
      <c r="Z310" s="10">
        <v>213</v>
      </c>
      <c r="AA310" s="10">
        <v>20528</v>
      </c>
      <c r="AB310" s="10"/>
    </row>
    <row r="311" ht="41" spans="1:28">
      <c r="A311" s="10">
        <v>2023</v>
      </c>
      <c r="B311" s="10">
        <v>650000</v>
      </c>
      <c r="C311" s="24" t="s">
        <v>66</v>
      </c>
      <c r="D311" s="10">
        <v>48794</v>
      </c>
      <c r="E311" s="10">
        <v>2627.9</v>
      </c>
      <c r="F311" s="10">
        <v>24.7</v>
      </c>
      <c r="G311" s="10">
        <v>8</v>
      </c>
      <c r="H311" s="10">
        <v>205.877</v>
      </c>
      <c r="I311" s="10">
        <v>0.9584</v>
      </c>
      <c r="J311" s="10">
        <v>27.82</v>
      </c>
      <c r="K311" s="10">
        <v>372.53</v>
      </c>
      <c r="L311" s="10">
        <v>21.4896</v>
      </c>
      <c r="M311" s="10">
        <v>9.63344</v>
      </c>
      <c r="N311" s="10">
        <v>3372.25</v>
      </c>
      <c r="O311" s="10">
        <v>33.4664</v>
      </c>
      <c r="P311" s="10">
        <v>2606.4</v>
      </c>
      <c r="Q311" s="10">
        <v>3011.4</v>
      </c>
      <c r="R311" s="10"/>
      <c r="S311" s="25">
        <v>353.97</v>
      </c>
      <c r="T311" s="10">
        <v>7.796865</v>
      </c>
      <c r="U311" s="26">
        <v>4.1762</v>
      </c>
      <c r="V311" s="26">
        <v>313.42</v>
      </c>
      <c r="W311" s="27">
        <f t="shared" si="4"/>
        <v>1.33246123412673</v>
      </c>
      <c r="X311" s="27">
        <v>63517</v>
      </c>
      <c r="Y311" s="10">
        <v>29995.9</v>
      </c>
      <c r="Z311" s="10">
        <v>267</v>
      </c>
      <c r="AA311" s="10">
        <v>19124</v>
      </c>
      <c r="AB311" s="10"/>
    </row>
    <row r="312" ht="21" spans="1:28">
      <c r="A312" s="10">
        <v>2013</v>
      </c>
      <c r="B312" s="10">
        <v>530000</v>
      </c>
      <c r="C312" s="24" t="s">
        <v>67</v>
      </c>
      <c r="D312" s="10">
        <v>42468</v>
      </c>
      <c r="E312" s="10">
        <v>736.9</v>
      </c>
      <c r="F312" s="10">
        <v>8.8065</v>
      </c>
      <c r="G312" s="10">
        <v>8.3572</v>
      </c>
      <c r="H312" s="10">
        <v>312.96</v>
      </c>
      <c r="I312" s="10">
        <v>1.4475</v>
      </c>
      <c r="J312" s="10">
        <v>55.2841</v>
      </c>
      <c r="K312" s="10">
        <v>429.376</v>
      </c>
      <c r="L312" s="10">
        <v>47.8669</v>
      </c>
      <c r="M312" s="10">
        <v>3.05693</v>
      </c>
      <c r="N312" s="10">
        <v>1182.25</v>
      </c>
      <c r="O312" s="10">
        <v>21.3106</v>
      </c>
      <c r="P312" s="10"/>
      <c r="Q312" s="10">
        <v>3395.8</v>
      </c>
      <c r="R312" s="10">
        <v>478.51</v>
      </c>
      <c r="S312" s="25">
        <v>137.9</v>
      </c>
      <c r="T312" s="10">
        <v>0.5504083</v>
      </c>
      <c r="U312" s="26">
        <v>6.646</v>
      </c>
      <c r="V312" s="26">
        <v>428.13</v>
      </c>
      <c r="W312" s="27">
        <f t="shared" si="4"/>
        <v>1.55233223553594</v>
      </c>
      <c r="X312" s="27">
        <v>64950</v>
      </c>
      <c r="Y312" s="10">
        <v>28482.9</v>
      </c>
      <c r="Z312" s="10">
        <v>339</v>
      </c>
      <c r="AA312" s="10">
        <v>6804</v>
      </c>
      <c r="AB312" s="10"/>
    </row>
    <row r="313" ht="21" spans="1:28">
      <c r="A313" s="10">
        <v>2014</v>
      </c>
      <c r="B313" s="10">
        <v>530000</v>
      </c>
      <c r="C313" s="24" t="s">
        <v>67</v>
      </c>
      <c r="D313" s="10">
        <v>43675.9</v>
      </c>
      <c r="E313" s="10">
        <v>741.33</v>
      </c>
      <c r="F313" s="10">
        <v>12.1</v>
      </c>
      <c r="G313" s="10">
        <v>11.1535</v>
      </c>
      <c r="H313" s="10">
        <v>328.668</v>
      </c>
      <c r="I313" s="10">
        <v>1.4315</v>
      </c>
      <c r="J313" s="10">
        <v>46.9826</v>
      </c>
      <c r="K313" s="10">
        <v>538.9</v>
      </c>
      <c r="L313" s="10">
        <v>49.8873</v>
      </c>
      <c r="M313" s="10">
        <v>5.53051</v>
      </c>
      <c r="N313" s="10">
        <v>2461.07</v>
      </c>
      <c r="O313" s="10">
        <v>23.5158</v>
      </c>
      <c r="P313" s="10">
        <v>2459.24</v>
      </c>
      <c r="Q313" s="10">
        <v>3748.54</v>
      </c>
      <c r="R313" s="10">
        <v>473.09</v>
      </c>
      <c r="S313" s="25">
        <v>164.05</v>
      </c>
      <c r="T313" s="10">
        <v>0.764337</v>
      </c>
      <c r="U313" s="26">
        <v>5.2474</v>
      </c>
      <c r="V313" s="26">
        <v>419.567</v>
      </c>
      <c r="W313" s="27">
        <f t="shared" si="4"/>
        <v>1.25067033393951</v>
      </c>
      <c r="X313" s="27">
        <v>74098</v>
      </c>
      <c r="Y313" s="10">
        <v>30523</v>
      </c>
      <c r="Z313" s="10">
        <v>388</v>
      </c>
      <c r="AA313" s="10">
        <v>8124</v>
      </c>
      <c r="AB313" s="10"/>
    </row>
    <row r="314" ht="21" spans="1:28">
      <c r="A314" s="10">
        <v>2015</v>
      </c>
      <c r="B314" s="10">
        <v>530000</v>
      </c>
      <c r="C314" s="24" t="s">
        <v>67</v>
      </c>
      <c r="D314" s="10">
        <v>49361</v>
      </c>
      <c r="E314" s="10">
        <v>1151.07</v>
      </c>
      <c r="F314" s="10">
        <v>16.3075</v>
      </c>
      <c r="G314" s="10">
        <v>17</v>
      </c>
      <c r="H314" s="10"/>
      <c r="I314" s="10">
        <v>1.9</v>
      </c>
      <c r="J314" s="10">
        <v>44.2407</v>
      </c>
      <c r="K314" s="10">
        <v>757.28</v>
      </c>
      <c r="L314" s="10">
        <v>51</v>
      </c>
      <c r="M314" s="10">
        <v>9.3</v>
      </c>
      <c r="N314" s="10">
        <v>2828.38</v>
      </c>
      <c r="O314" s="10">
        <v>25.3682</v>
      </c>
      <c r="P314" s="10">
        <v>2777.67</v>
      </c>
      <c r="Q314" s="10">
        <v>3740.06</v>
      </c>
      <c r="R314" s="10">
        <v>427.218</v>
      </c>
      <c r="S314" s="25">
        <v>203.76</v>
      </c>
      <c r="T314" s="10">
        <v>0.9081476</v>
      </c>
      <c r="U314" s="26">
        <v>4.8898</v>
      </c>
      <c r="V314" s="26">
        <v>414.66</v>
      </c>
      <c r="W314" s="27">
        <f t="shared" si="4"/>
        <v>1.17923117735012</v>
      </c>
      <c r="X314" s="27">
        <v>89104</v>
      </c>
      <c r="Y314" s="10">
        <v>39535.2</v>
      </c>
      <c r="Z314" s="10">
        <v>479</v>
      </c>
      <c r="AA314" s="10">
        <v>11658</v>
      </c>
      <c r="AB314" s="10"/>
    </row>
    <row r="315" ht="21" spans="1:28">
      <c r="A315" s="10">
        <v>2016</v>
      </c>
      <c r="B315" s="10">
        <v>530000</v>
      </c>
      <c r="C315" s="24" t="s">
        <v>67</v>
      </c>
      <c r="D315" s="10">
        <v>51174.9</v>
      </c>
      <c r="E315" s="10">
        <v>1674.45</v>
      </c>
      <c r="F315" s="10">
        <v>19.3939</v>
      </c>
      <c r="G315" s="10">
        <v>27.5182</v>
      </c>
      <c r="H315" s="10"/>
      <c r="I315" s="10">
        <v>2.2443</v>
      </c>
      <c r="J315" s="10">
        <v>50.2951</v>
      </c>
      <c r="K315" s="10">
        <v>500.98</v>
      </c>
      <c r="L315" s="10">
        <v>47.5</v>
      </c>
      <c r="M315" s="10">
        <v>13.2</v>
      </c>
      <c r="N315" s="10">
        <v>1249.72</v>
      </c>
      <c r="O315" s="10">
        <v>27.0548</v>
      </c>
      <c r="P315" s="10">
        <v>3302.06</v>
      </c>
      <c r="Q315" s="10">
        <v>3942.79</v>
      </c>
      <c r="R315" s="10">
        <v>393.18</v>
      </c>
      <c r="S315" s="25">
        <v>217.34</v>
      </c>
      <c r="T315" s="10">
        <v>2.130739</v>
      </c>
      <c r="U315" s="26">
        <v>4.9974</v>
      </c>
      <c r="V315" s="26">
        <v>418.984</v>
      </c>
      <c r="W315" s="27">
        <f t="shared" si="4"/>
        <v>1.19274244362553</v>
      </c>
      <c r="X315" s="27">
        <v>85795</v>
      </c>
      <c r="Y315" s="10">
        <v>41115.5</v>
      </c>
      <c r="Z315" s="10">
        <v>554</v>
      </c>
      <c r="AA315" s="10">
        <v>12032</v>
      </c>
      <c r="AB315" s="10"/>
    </row>
    <row r="316" ht="21" spans="1:28">
      <c r="A316" s="10">
        <v>2017</v>
      </c>
      <c r="B316" s="10">
        <v>530000</v>
      </c>
      <c r="C316" s="24" t="s">
        <v>67</v>
      </c>
      <c r="D316" s="10">
        <v>51489</v>
      </c>
      <c r="E316" s="10">
        <v>1661.76</v>
      </c>
      <c r="F316" s="10">
        <v>21.455</v>
      </c>
      <c r="G316" s="10">
        <v>23.341</v>
      </c>
      <c r="H316" s="10">
        <v>331.931</v>
      </c>
      <c r="I316" s="10">
        <v>2.6658</v>
      </c>
      <c r="J316" s="10">
        <v>77.6749</v>
      </c>
      <c r="K316" s="10">
        <v>1143.47</v>
      </c>
      <c r="L316" s="10">
        <v>48</v>
      </c>
      <c r="M316" s="10">
        <v>11.2</v>
      </c>
      <c r="N316" s="10">
        <v>1329.41</v>
      </c>
      <c r="O316" s="10">
        <v>28.675</v>
      </c>
      <c r="P316" s="10">
        <v>3680.47</v>
      </c>
      <c r="Q316" s="10">
        <v>4228.44</v>
      </c>
      <c r="R316" s="10">
        <v>360.68</v>
      </c>
      <c r="S316" s="25">
        <v>256.27</v>
      </c>
      <c r="T316" s="10">
        <v>4.354594</v>
      </c>
      <c r="U316" s="26">
        <v>5.212</v>
      </c>
      <c r="V316" s="26">
        <v>422.41</v>
      </c>
      <c r="W316" s="27">
        <f t="shared" si="4"/>
        <v>1.23387230415947</v>
      </c>
      <c r="X316" s="27">
        <v>96365</v>
      </c>
      <c r="Y316" s="10">
        <v>46576</v>
      </c>
      <c r="Z316" s="10">
        <v>648</v>
      </c>
      <c r="AA316" s="10">
        <v>14230</v>
      </c>
      <c r="AB316" s="10"/>
    </row>
    <row r="317" ht="21" spans="1:28">
      <c r="A317" s="10">
        <v>2018</v>
      </c>
      <c r="B317" s="10">
        <v>530000</v>
      </c>
      <c r="C317" s="24" t="s">
        <v>67</v>
      </c>
      <c r="D317" s="10">
        <v>48060.2</v>
      </c>
      <c r="E317" s="10">
        <v>1962.62</v>
      </c>
      <c r="F317" s="10">
        <v>24.7966</v>
      </c>
      <c r="G317" s="10">
        <v>46.615</v>
      </c>
      <c r="H317" s="10">
        <v>332.146</v>
      </c>
      <c r="I317" s="10">
        <v>2.9057</v>
      </c>
      <c r="J317" s="10">
        <v>91.1126</v>
      </c>
      <c r="K317" s="10">
        <v>2478.73</v>
      </c>
      <c r="L317" s="10">
        <v>43</v>
      </c>
      <c r="M317" s="10">
        <v>10.3561</v>
      </c>
      <c r="N317" s="10">
        <v>1443.08</v>
      </c>
      <c r="O317" s="10">
        <v>29.5567</v>
      </c>
      <c r="P317" s="10">
        <v>3918.88</v>
      </c>
      <c r="Q317" s="10">
        <v>4659.05</v>
      </c>
      <c r="R317" s="10">
        <v>434.6</v>
      </c>
      <c r="S317" s="25">
        <v>285.79</v>
      </c>
      <c r="T317" s="10">
        <v>5.47673</v>
      </c>
      <c r="U317" s="26">
        <v>4.8813</v>
      </c>
      <c r="V317" s="26">
        <v>427.027</v>
      </c>
      <c r="W317" s="27">
        <f t="shared" si="4"/>
        <v>1.14308931285375</v>
      </c>
      <c r="X317" s="27">
        <v>95714</v>
      </c>
      <c r="Y317" s="10">
        <v>49666.7</v>
      </c>
      <c r="Z317" s="10">
        <v>542</v>
      </c>
      <c r="AA317" s="10">
        <v>20340</v>
      </c>
      <c r="AB317" s="10"/>
    </row>
    <row r="318" ht="21" spans="1:28">
      <c r="A318" s="10">
        <v>2019</v>
      </c>
      <c r="B318" s="10">
        <v>530000</v>
      </c>
      <c r="C318" s="24" t="s">
        <v>67</v>
      </c>
      <c r="D318" s="10">
        <v>49747.5</v>
      </c>
      <c r="E318" s="10">
        <v>2091.09</v>
      </c>
      <c r="F318" s="10">
        <v>29.1127</v>
      </c>
      <c r="G318" s="10">
        <v>99.0032</v>
      </c>
      <c r="H318" s="10">
        <v>332.311</v>
      </c>
      <c r="I318" s="10">
        <v>3.6435</v>
      </c>
      <c r="J318" s="10">
        <v>102.382</v>
      </c>
      <c r="K318" s="10">
        <v>4185.22</v>
      </c>
      <c r="L318" s="10">
        <v>39.7</v>
      </c>
      <c r="M318" s="10">
        <v>10.5</v>
      </c>
      <c r="N318" s="10">
        <v>1959.58</v>
      </c>
      <c r="O318" s="10">
        <v>33.7744</v>
      </c>
      <c r="P318" s="10">
        <v>3829.35</v>
      </c>
      <c r="Q318" s="10">
        <v>4863.01</v>
      </c>
      <c r="R318" s="10">
        <v>361.7</v>
      </c>
      <c r="S318" s="25">
        <v>303.46</v>
      </c>
      <c r="T318" s="10">
        <v>5.777811</v>
      </c>
      <c r="U318" s="26">
        <v>5.3321</v>
      </c>
      <c r="V318" s="26">
        <v>367.51</v>
      </c>
      <c r="W318" s="27">
        <f t="shared" si="4"/>
        <v>1.45087208511333</v>
      </c>
      <c r="X318" s="27">
        <v>101738</v>
      </c>
      <c r="Y318" s="10">
        <v>57156.5</v>
      </c>
      <c r="Z318" s="10">
        <v>538</v>
      </c>
      <c r="AA318" s="10">
        <v>22324</v>
      </c>
      <c r="AB318" s="10"/>
    </row>
    <row r="319" ht="21" spans="1:28">
      <c r="A319" s="10">
        <v>2020</v>
      </c>
      <c r="B319" s="10">
        <v>530000</v>
      </c>
      <c r="C319" s="24" t="s">
        <v>67</v>
      </c>
      <c r="D319" s="10">
        <v>59529</v>
      </c>
      <c r="E319" s="10">
        <v>2218</v>
      </c>
      <c r="F319" s="10">
        <v>33.1</v>
      </c>
      <c r="G319" s="10">
        <v>89.9</v>
      </c>
      <c r="H319" s="10">
        <v>333.9</v>
      </c>
      <c r="I319" s="10">
        <v>4.3813</v>
      </c>
      <c r="J319" s="10">
        <v>107.55</v>
      </c>
      <c r="K319" s="10">
        <v>5647.84</v>
      </c>
      <c r="L319" s="10">
        <v>38</v>
      </c>
      <c r="M319" s="10">
        <v>11.6</v>
      </c>
      <c r="N319" s="10">
        <v>2324.4</v>
      </c>
      <c r="O319" s="10">
        <v>34</v>
      </c>
      <c r="P319" s="10">
        <v>3945.4</v>
      </c>
      <c r="Q319" s="10">
        <v>4953.4</v>
      </c>
      <c r="R319" s="10">
        <v>389.21</v>
      </c>
      <c r="S319" s="25">
        <v>318.48</v>
      </c>
      <c r="T319" s="10">
        <v>12.13138</v>
      </c>
      <c r="U319" s="26">
        <v>5.2639</v>
      </c>
      <c r="V319" s="26">
        <v>358.226</v>
      </c>
      <c r="W319" s="27">
        <f t="shared" si="4"/>
        <v>1.46943549602765</v>
      </c>
      <c r="X319" s="27">
        <v>117049</v>
      </c>
      <c r="Y319" s="10">
        <v>60368.5</v>
      </c>
      <c r="Z319" s="10">
        <v>488</v>
      </c>
      <c r="AA319" s="10">
        <v>28943</v>
      </c>
      <c r="AB319" s="10"/>
    </row>
    <row r="320" ht="21" spans="1:28">
      <c r="A320" s="10">
        <v>2021</v>
      </c>
      <c r="B320" s="10">
        <v>530000</v>
      </c>
      <c r="C320" s="24" t="s">
        <v>67</v>
      </c>
      <c r="D320" s="10">
        <v>60200.3</v>
      </c>
      <c r="E320" s="10">
        <v>2431.87</v>
      </c>
      <c r="F320" s="10">
        <v>35.8918</v>
      </c>
      <c r="G320" s="10">
        <v>42.5727</v>
      </c>
      <c r="H320" s="10">
        <v>330.496</v>
      </c>
      <c r="I320" s="10">
        <v>5.1316</v>
      </c>
      <c r="J320" s="10">
        <v>87.915</v>
      </c>
      <c r="K320" s="10">
        <v>523.73</v>
      </c>
      <c r="L320" s="10">
        <v>37.4</v>
      </c>
      <c r="M320" s="10">
        <v>11.5</v>
      </c>
      <c r="N320" s="10">
        <v>2461.72</v>
      </c>
      <c r="O320" s="10">
        <v>35.1524</v>
      </c>
      <c r="P320" s="10">
        <v>4063.24</v>
      </c>
      <c r="Q320" s="10">
        <v>5045.73</v>
      </c>
      <c r="R320" s="10">
        <v>384.47</v>
      </c>
      <c r="S320" s="25">
        <v>333.9</v>
      </c>
      <c r="T320" s="10">
        <v>12.25533</v>
      </c>
      <c r="U320" s="26">
        <v>5.3017</v>
      </c>
      <c r="V320" s="26">
        <v>358.099</v>
      </c>
      <c r="W320" s="27">
        <f t="shared" si="4"/>
        <v>1.48051237227694</v>
      </c>
      <c r="X320" s="27">
        <v>126824</v>
      </c>
      <c r="Y320" s="10">
        <v>58880.1</v>
      </c>
      <c r="Z320" s="10">
        <v>493</v>
      </c>
      <c r="AA320" s="10">
        <v>41167</v>
      </c>
      <c r="AB320" s="10"/>
    </row>
    <row r="321" ht="21" spans="1:28">
      <c r="A321" s="10">
        <v>2022</v>
      </c>
      <c r="B321" s="10">
        <v>530000</v>
      </c>
      <c r="C321" s="24" t="s">
        <v>67</v>
      </c>
      <c r="D321" s="10">
        <v>64415.8</v>
      </c>
      <c r="E321" s="10">
        <v>2655.43</v>
      </c>
      <c r="F321" s="10">
        <v>39.096</v>
      </c>
      <c r="G321" s="10">
        <v>34.0871</v>
      </c>
      <c r="H321" s="10">
        <v>336.363</v>
      </c>
      <c r="I321" s="10">
        <v>4.6786</v>
      </c>
      <c r="J321" s="10">
        <v>130.626</v>
      </c>
      <c r="K321" s="10">
        <v>504.756</v>
      </c>
      <c r="L321" s="10">
        <v>31.1</v>
      </c>
      <c r="M321" s="10">
        <v>9.41011</v>
      </c>
      <c r="N321" s="10">
        <v>2326.26</v>
      </c>
      <c r="O321" s="10">
        <v>36.4666</v>
      </c>
      <c r="P321" s="10">
        <v>4275.14</v>
      </c>
      <c r="Q321" s="10">
        <v>5132.39</v>
      </c>
      <c r="R321" s="10">
        <v>369.034</v>
      </c>
      <c r="S321" s="25">
        <v>349.88</v>
      </c>
      <c r="T321" s="10">
        <v>13.33365</v>
      </c>
      <c r="U321" s="26">
        <v>5.0188</v>
      </c>
      <c r="V321" s="26">
        <v>355.288</v>
      </c>
      <c r="W321" s="27">
        <f t="shared" si="4"/>
        <v>1.4126004818626</v>
      </c>
      <c r="X321" s="27">
        <v>136465</v>
      </c>
      <c r="Y321" s="10">
        <v>64554.9</v>
      </c>
      <c r="Z321" s="10">
        <v>552</v>
      </c>
      <c r="AA321" s="10">
        <v>39497</v>
      </c>
      <c r="AB321" s="10"/>
    </row>
    <row r="322" ht="21" spans="1:28">
      <c r="A322" s="10">
        <v>2023</v>
      </c>
      <c r="B322" s="10">
        <v>530000</v>
      </c>
      <c r="C322" s="24" t="s">
        <v>67</v>
      </c>
      <c r="D322" s="10">
        <v>64416</v>
      </c>
      <c r="E322" s="10">
        <v>3142.2</v>
      </c>
      <c r="F322" s="10">
        <v>42.4</v>
      </c>
      <c r="G322" s="10">
        <v>27.3</v>
      </c>
      <c r="H322" s="10">
        <v>329.403</v>
      </c>
      <c r="I322" s="10">
        <v>6.2702</v>
      </c>
      <c r="J322" s="10">
        <v>141.8</v>
      </c>
      <c r="K322" s="10">
        <v>502.93</v>
      </c>
      <c r="L322" s="10">
        <v>30.084</v>
      </c>
      <c r="M322" s="10">
        <v>13.8682</v>
      </c>
      <c r="N322" s="10">
        <v>3135.2</v>
      </c>
      <c r="O322" s="10">
        <v>37.6395</v>
      </c>
      <c r="P322" s="10">
        <v>4497.4</v>
      </c>
      <c r="Q322" s="10">
        <v>5213</v>
      </c>
      <c r="R322" s="10"/>
      <c r="S322" s="25">
        <v>366.07</v>
      </c>
      <c r="T322" s="10">
        <v>17.48151</v>
      </c>
      <c r="U322" s="26">
        <v>5.3024</v>
      </c>
      <c r="V322" s="26">
        <v>344.986</v>
      </c>
      <c r="W322" s="27">
        <f t="shared" si="4"/>
        <v>1.5369899068368</v>
      </c>
      <c r="X322" s="27">
        <v>136288</v>
      </c>
      <c r="Y322" s="10">
        <v>75857.8</v>
      </c>
      <c r="Z322" s="10">
        <v>783</v>
      </c>
      <c r="AA322" s="10">
        <v>32718</v>
      </c>
      <c r="AB322" s="10"/>
    </row>
    <row r="323" ht="21" spans="1:28">
      <c r="A323" s="10">
        <v>2013</v>
      </c>
      <c r="B323" s="10">
        <v>330000</v>
      </c>
      <c r="C323" s="24" t="s">
        <v>68</v>
      </c>
      <c r="D323" s="10">
        <v>25801</v>
      </c>
      <c r="E323" s="10">
        <v>2447.4</v>
      </c>
      <c r="F323" s="10">
        <v>17.3735</v>
      </c>
      <c r="G323" s="10">
        <v>69.1006</v>
      </c>
      <c r="H323" s="10">
        <v>1484.49</v>
      </c>
      <c r="I323" s="10">
        <v>21.9693</v>
      </c>
      <c r="J323" s="10">
        <v>1898.84</v>
      </c>
      <c r="K323" s="10">
        <v>955.579</v>
      </c>
      <c r="L323" s="10">
        <v>64.6172</v>
      </c>
      <c r="M323" s="10">
        <v>11.5456</v>
      </c>
      <c r="N323" s="10">
        <v>4305.21</v>
      </c>
      <c r="O323" s="10">
        <v>18.0398</v>
      </c>
      <c r="P323" s="10">
        <v>4719</v>
      </c>
      <c r="Q323" s="10">
        <v>7071.8</v>
      </c>
      <c r="R323" s="10">
        <v>1334.31</v>
      </c>
      <c r="S323" s="25">
        <v>205.77</v>
      </c>
      <c r="T323" s="10">
        <v>19.40915</v>
      </c>
      <c r="U323" s="26">
        <v>15.353</v>
      </c>
      <c r="V323" s="26">
        <v>1071.61</v>
      </c>
      <c r="W323" s="27">
        <f t="shared" si="4"/>
        <v>1.43270406211215</v>
      </c>
      <c r="X323" s="27">
        <v>128186</v>
      </c>
      <c r="Y323" s="10">
        <v>311042</v>
      </c>
      <c r="Z323" s="10">
        <v>8278</v>
      </c>
      <c r="AA323" s="10">
        <v>202350</v>
      </c>
      <c r="AB323" s="10"/>
    </row>
    <row r="324" ht="21" spans="1:28">
      <c r="A324" s="10">
        <v>2014</v>
      </c>
      <c r="B324" s="10">
        <v>330000</v>
      </c>
      <c r="C324" s="24" t="s">
        <v>68</v>
      </c>
      <c r="D324" s="10">
        <v>25744.4</v>
      </c>
      <c r="E324" s="10">
        <v>2632.62</v>
      </c>
      <c r="F324" s="10">
        <v>24.9</v>
      </c>
      <c r="G324" s="10">
        <v>91.1562</v>
      </c>
      <c r="H324" s="10">
        <v>1792.74</v>
      </c>
      <c r="I324" s="10">
        <v>21.863</v>
      </c>
      <c r="J324" s="10">
        <v>2437.62</v>
      </c>
      <c r="K324" s="10">
        <v>1143.87</v>
      </c>
      <c r="L324" s="10">
        <v>62.4579</v>
      </c>
      <c r="M324" s="10">
        <v>11.9831</v>
      </c>
      <c r="N324" s="10">
        <v>4764.11</v>
      </c>
      <c r="O324" s="10">
        <v>19.4233</v>
      </c>
      <c r="P324" s="10">
        <v>5362.13</v>
      </c>
      <c r="Q324" s="10">
        <v>7370.62</v>
      </c>
      <c r="R324" s="10">
        <v>1442.62</v>
      </c>
      <c r="S324" s="25">
        <v>224.45</v>
      </c>
      <c r="T324" s="10">
        <v>19.99671</v>
      </c>
      <c r="U324" s="26">
        <v>16.4351</v>
      </c>
      <c r="V324" s="26">
        <v>1102.68</v>
      </c>
      <c r="W324" s="27">
        <f t="shared" ref="W324:W344" si="5">(U324/V324)*100</f>
        <v>1.49046867631588</v>
      </c>
      <c r="X324" s="27">
        <v>134219</v>
      </c>
      <c r="Y324" s="10">
        <v>338398</v>
      </c>
      <c r="Z324" s="10">
        <v>9049</v>
      </c>
      <c r="AA324" s="10">
        <v>188544</v>
      </c>
      <c r="AB324" s="10"/>
    </row>
    <row r="325" ht="21" spans="1:28">
      <c r="A325" s="10">
        <v>2015</v>
      </c>
      <c r="B325" s="10">
        <v>330000</v>
      </c>
      <c r="C325" s="24" t="s">
        <v>68</v>
      </c>
      <c r="D325" s="10">
        <v>26300</v>
      </c>
      <c r="E325" s="10">
        <v>4768.88</v>
      </c>
      <c r="F325" s="10">
        <v>32.668</v>
      </c>
      <c r="G325" s="10">
        <v>208.8</v>
      </c>
      <c r="H325" s="10"/>
      <c r="I325" s="10">
        <v>26.2</v>
      </c>
      <c r="J325" s="10">
        <v>3037.41</v>
      </c>
      <c r="K325" s="10">
        <v>1613.54</v>
      </c>
      <c r="L325" s="10">
        <v>59</v>
      </c>
      <c r="M325" s="10">
        <v>13.2</v>
      </c>
      <c r="N325" s="10">
        <v>5581.18</v>
      </c>
      <c r="O325" s="10">
        <v>20.3638</v>
      </c>
      <c r="P325" s="10">
        <v>5813.63</v>
      </c>
      <c r="Q325" s="10">
        <v>7283.66</v>
      </c>
      <c r="R325" s="10">
        <v>1519.86</v>
      </c>
      <c r="S325" s="25">
        <v>264.85</v>
      </c>
      <c r="T325" s="10">
        <v>29.25358</v>
      </c>
      <c r="U325" s="26">
        <v>17.0607</v>
      </c>
      <c r="V325" s="26">
        <v>1083.41</v>
      </c>
      <c r="W325" s="27">
        <f t="shared" si="5"/>
        <v>1.57472240426062</v>
      </c>
      <c r="X325" s="27">
        <v>140318</v>
      </c>
      <c r="Y325" s="10">
        <v>364710</v>
      </c>
      <c r="Z325" s="10">
        <v>9737</v>
      </c>
      <c r="AA325" s="10">
        <v>234983</v>
      </c>
      <c r="AB325" s="10"/>
    </row>
    <row r="326" ht="21" spans="1:28">
      <c r="A326" s="10">
        <v>2016</v>
      </c>
      <c r="B326" s="10">
        <v>330000</v>
      </c>
      <c r="C326" s="24" t="s">
        <v>68</v>
      </c>
      <c r="D326" s="10">
        <v>26273</v>
      </c>
      <c r="E326" s="10">
        <v>4720.62</v>
      </c>
      <c r="F326" s="10">
        <v>38.4337</v>
      </c>
      <c r="G326" s="10">
        <v>336.161</v>
      </c>
      <c r="H326" s="10"/>
      <c r="I326" s="10">
        <v>33.5887</v>
      </c>
      <c r="J326" s="10">
        <v>3600.02</v>
      </c>
      <c r="K326" s="10">
        <v>1116.48</v>
      </c>
      <c r="L326" s="10">
        <v>58.1</v>
      </c>
      <c r="M326" s="10">
        <v>14.9</v>
      </c>
      <c r="N326" s="10">
        <v>6846.78</v>
      </c>
      <c r="O326" s="10">
        <v>21.5844</v>
      </c>
      <c r="P326" s="10">
        <v>6366.29</v>
      </c>
      <c r="Q326" s="10">
        <v>7225.92</v>
      </c>
      <c r="R326" s="10">
        <v>1507.17</v>
      </c>
      <c r="S326" s="25">
        <v>268.1</v>
      </c>
      <c r="T326" s="10">
        <v>49.80849</v>
      </c>
      <c r="U326" s="26">
        <v>18.6104</v>
      </c>
      <c r="V326" s="26">
        <v>1060.95</v>
      </c>
      <c r="W326" s="27">
        <f t="shared" si="5"/>
        <v>1.75412601913379</v>
      </c>
      <c r="X326" s="27">
        <v>146241</v>
      </c>
      <c r="Y326" s="10">
        <v>376553</v>
      </c>
      <c r="Z326" s="10">
        <v>10137</v>
      </c>
      <c r="AA326" s="10">
        <v>221456</v>
      </c>
      <c r="AB326" s="10"/>
    </row>
    <row r="327" ht="21" spans="1:28">
      <c r="A327" s="10">
        <v>2017</v>
      </c>
      <c r="B327" s="10">
        <v>330000</v>
      </c>
      <c r="C327" s="24" t="s">
        <v>68</v>
      </c>
      <c r="D327" s="10">
        <v>27714</v>
      </c>
      <c r="E327" s="10">
        <v>5455.12</v>
      </c>
      <c r="F327" s="10">
        <v>39.0149</v>
      </c>
      <c r="G327" s="10">
        <v>207.563</v>
      </c>
      <c r="H327" s="10">
        <v>2191.42</v>
      </c>
      <c r="I327" s="10">
        <v>40.0281</v>
      </c>
      <c r="J327" s="10">
        <v>4340.42</v>
      </c>
      <c r="K327" s="10">
        <v>1794.18</v>
      </c>
      <c r="L327" s="10">
        <v>56</v>
      </c>
      <c r="M327" s="10">
        <v>12.7</v>
      </c>
      <c r="N327" s="10">
        <v>6831.28</v>
      </c>
      <c r="O327" s="10">
        <v>22.438</v>
      </c>
      <c r="P327" s="10">
        <v>7456.25</v>
      </c>
      <c r="Q327" s="10">
        <v>7590.59</v>
      </c>
      <c r="R327" s="10">
        <v>1401.81</v>
      </c>
      <c r="S327" s="25">
        <v>318.05</v>
      </c>
      <c r="T327" s="10">
        <v>70.22364</v>
      </c>
      <c r="U327" s="26">
        <v>23.0198</v>
      </c>
      <c r="V327" s="26">
        <v>1054.5</v>
      </c>
      <c r="W327" s="27">
        <f t="shared" si="5"/>
        <v>2.1830061640588</v>
      </c>
      <c r="X327" s="27">
        <v>146131</v>
      </c>
      <c r="Y327" s="10">
        <v>398091</v>
      </c>
      <c r="Z327" s="10">
        <v>10893</v>
      </c>
      <c r="AA327" s="10">
        <v>213805</v>
      </c>
      <c r="AB327" s="10"/>
    </row>
    <row r="328" ht="21" spans="1:28">
      <c r="A328" s="10">
        <v>2018</v>
      </c>
      <c r="B328" s="10">
        <v>330000</v>
      </c>
      <c r="C328" s="24" t="s">
        <v>68</v>
      </c>
      <c r="D328" s="10">
        <v>26769.6</v>
      </c>
      <c r="E328" s="10">
        <v>5970.97</v>
      </c>
      <c r="F328" s="10">
        <v>40.6315</v>
      </c>
      <c r="G328" s="10">
        <v>149.195</v>
      </c>
      <c r="H328" s="10">
        <v>2192.84</v>
      </c>
      <c r="I328" s="10">
        <v>41.7303</v>
      </c>
      <c r="J328" s="10">
        <v>5200.61</v>
      </c>
      <c r="K328" s="10">
        <v>4101.33</v>
      </c>
      <c r="L328" s="10">
        <v>53</v>
      </c>
      <c r="M328" s="10">
        <v>11.9376</v>
      </c>
      <c r="N328" s="10">
        <v>8846.51</v>
      </c>
      <c r="O328" s="10">
        <v>23.9909</v>
      </c>
      <c r="P328" s="10">
        <v>6833.64</v>
      </c>
      <c r="Q328" s="10">
        <v>8308.75</v>
      </c>
      <c r="R328" s="10">
        <v>1405.62</v>
      </c>
      <c r="S328" s="25">
        <v>357.45</v>
      </c>
      <c r="T328" s="10">
        <v>80.61301</v>
      </c>
      <c r="U328" s="26">
        <v>21.8467</v>
      </c>
      <c r="V328" s="26">
        <v>1013.53</v>
      </c>
      <c r="W328" s="27">
        <f t="shared" si="5"/>
        <v>2.15550600376901</v>
      </c>
      <c r="X328" s="27">
        <v>149271</v>
      </c>
      <c r="Y328" s="10">
        <v>458038</v>
      </c>
      <c r="Z328" s="10">
        <v>10769</v>
      </c>
      <c r="AA328" s="10">
        <v>284621</v>
      </c>
      <c r="AB328" s="10"/>
    </row>
    <row r="329" ht="21" spans="1:28">
      <c r="A329" s="10">
        <v>2019</v>
      </c>
      <c r="B329" s="10">
        <v>330000</v>
      </c>
      <c r="C329" s="24" t="s">
        <v>68</v>
      </c>
      <c r="D329" s="10">
        <v>26585.5</v>
      </c>
      <c r="E329" s="10">
        <v>6284.4</v>
      </c>
      <c r="F329" s="10">
        <v>53.8743</v>
      </c>
      <c r="G329" s="10">
        <v>184.015</v>
      </c>
      <c r="H329" s="10">
        <v>2193.93</v>
      </c>
      <c r="I329" s="10">
        <v>33.0015</v>
      </c>
      <c r="J329" s="10">
        <v>6109.89</v>
      </c>
      <c r="K329" s="10">
        <v>6717.01</v>
      </c>
      <c r="L329" s="10">
        <v>48.4</v>
      </c>
      <c r="M329" s="10">
        <v>11.7</v>
      </c>
      <c r="N329" s="10">
        <v>11482</v>
      </c>
      <c r="O329" s="10">
        <v>28.0706</v>
      </c>
      <c r="P329" s="10">
        <v>7047</v>
      </c>
      <c r="Q329" s="10">
        <v>8736.38</v>
      </c>
      <c r="R329" s="10">
        <v>1327.25</v>
      </c>
      <c r="S329" s="25">
        <v>387.49</v>
      </c>
      <c r="T329" s="10">
        <v>100.3724</v>
      </c>
      <c r="U329" s="26">
        <v>24.3579</v>
      </c>
      <c r="V329" s="26">
        <v>987.34</v>
      </c>
      <c r="W329" s="27">
        <f t="shared" si="5"/>
        <v>2.46702250491219</v>
      </c>
      <c r="X329" s="27">
        <v>151734</v>
      </c>
      <c r="Y329" s="10">
        <v>534724</v>
      </c>
      <c r="Z329" s="10">
        <v>13850</v>
      </c>
      <c r="AA329" s="10">
        <v>285342</v>
      </c>
      <c r="AB329" s="10"/>
    </row>
    <row r="330" ht="21" spans="1:28">
      <c r="A330" s="10">
        <v>2020</v>
      </c>
      <c r="B330" s="10">
        <v>330000</v>
      </c>
      <c r="C330" s="24" t="s">
        <v>68</v>
      </c>
      <c r="D330" s="10">
        <v>27024</v>
      </c>
      <c r="E330" s="10">
        <v>6031.5</v>
      </c>
      <c r="F330" s="10">
        <v>59.7</v>
      </c>
      <c r="G330" s="10">
        <v>167.5</v>
      </c>
      <c r="H330" s="10">
        <v>2204.1</v>
      </c>
      <c r="I330" s="10">
        <v>24.2728</v>
      </c>
      <c r="J330" s="10">
        <v>7037.65</v>
      </c>
      <c r="K330" s="10">
        <v>8309.99</v>
      </c>
      <c r="L330" s="10">
        <v>48</v>
      </c>
      <c r="M330" s="10">
        <v>12.2</v>
      </c>
      <c r="N330" s="10">
        <v>12124.5</v>
      </c>
      <c r="O330" s="10">
        <v>32</v>
      </c>
      <c r="P330" s="10">
        <v>7041.1</v>
      </c>
      <c r="Q330" s="10">
        <v>8585.2</v>
      </c>
      <c r="R330" s="10">
        <v>1303.48</v>
      </c>
      <c r="S330" s="25">
        <v>406.88</v>
      </c>
      <c r="T330" s="10">
        <v>155.3822</v>
      </c>
      <c r="U330" s="26">
        <v>28.3029</v>
      </c>
      <c r="V330" s="26">
        <v>1025.84</v>
      </c>
      <c r="W330" s="27">
        <f t="shared" si="5"/>
        <v>2.75899750448413</v>
      </c>
      <c r="X330" s="27">
        <v>152455</v>
      </c>
      <c r="Y330" s="10">
        <v>582981</v>
      </c>
      <c r="Z330" s="10">
        <v>17924</v>
      </c>
      <c r="AA330" s="10">
        <v>391700</v>
      </c>
      <c r="AB330" s="10"/>
    </row>
    <row r="331" ht="21" spans="1:28">
      <c r="A331" s="10">
        <v>2021</v>
      </c>
      <c r="B331" s="10">
        <v>330000</v>
      </c>
      <c r="C331" s="24" t="s">
        <v>68</v>
      </c>
      <c r="D331" s="10">
        <v>27982.6</v>
      </c>
      <c r="E331" s="10">
        <v>6237.79</v>
      </c>
      <c r="F331" s="10">
        <v>62.7912</v>
      </c>
      <c r="G331" s="10">
        <v>130.811</v>
      </c>
      <c r="H331" s="10">
        <v>2193.47</v>
      </c>
      <c r="I331" s="10">
        <v>28.8792</v>
      </c>
      <c r="J331" s="10">
        <v>7636.24</v>
      </c>
      <c r="K331" s="10">
        <v>1105.39</v>
      </c>
      <c r="L331" s="10">
        <v>47.2</v>
      </c>
      <c r="M331" s="10">
        <v>11.9</v>
      </c>
      <c r="N331" s="10">
        <v>14913.5</v>
      </c>
      <c r="O331" s="10">
        <v>32.091</v>
      </c>
      <c r="P331" s="10">
        <v>7483.37</v>
      </c>
      <c r="Q331" s="10">
        <v>8859.64</v>
      </c>
      <c r="R331" s="10">
        <v>1290.62</v>
      </c>
      <c r="S331" s="25">
        <v>426.85</v>
      </c>
      <c r="T331" s="10">
        <v>147.1593</v>
      </c>
      <c r="U331" s="26">
        <v>32.7593</v>
      </c>
      <c r="V331" s="26">
        <v>1034.62</v>
      </c>
      <c r="W331" s="27">
        <f t="shared" si="5"/>
        <v>3.16631226923895</v>
      </c>
      <c r="X331" s="27">
        <v>157518</v>
      </c>
      <c r="Y331" s="10">
        <v>575284</v>
      </c>
      <c r="Z331" s="10">
        <v>20752</v>
      </c>
      <c r="AA331" s="10">
        <v>465468</v>
      </c>
      <c r="AB331" s="10"/>
    </row>
    <row r="332" ht="21" spans="1:28">
      <c r="A332" s="10">
        <v>2022</v>
      </c>
      <c r="B332" s="10">
        <v>330000</v>
      </c>
      <c r="C332" s="24" t="s">
        <v>68</v>
      </c>
      <c r="D332" s="10">
        <v>29945.6</v>
      </c>
      <c r="E332" s="10">
        <v>6458.66</v>
      </c>
      <c r="F332" s="10">
        <v>69.4182</v>
      </c>
      <c r="G332" s="10">
        <v>128.297</v>
      </c>
      <c r="H332" s="10">
        <v>2220.68</v>
      </c>
      <c r="I332" s="10">
        <v>26.5574</v>
      </c>
      <c r="J332" s="10">
        <v>9152.93</v>
      </c>
      <c r="K332" s="10">
        <v>1119.71</v>
      </c>
      <c r="L332" s="10">
        <v>44.1</v>
      </c>
      <c r="M332" s="10">
        <v>10.9812</v>
      </c>
      <c r="N332" s="10">
        <v>18144.1</v>
      </c>
      <c r="O332" s="10">
        <v>33.4083</v>
      </c>
      <c r="P332" s="10">
        <v>7694.25</v>
      </c>
      <c r="Q332" s="10">
        <v>9023.73</v>
      </c>
      <c r="R332" s="10">
        <v>1243.63</v>
      </c>
      <c r="S332" s="25">
        <v>447.19</v>
      </c>
      <c r="T332" s="10">
        <v>151.869</v>
      </c>
      <c r="U332" s="26">
        <v>34.3749</v>
      </c>
      <c r="V332" s="26">
        <v>1041.37</v>
      </c>
      <c r="W332" s="27">
        <f t="shared" si="5"/>
        <v>3.30093050500783</v>
      </c>
      <c r="X332" s="27">
        <v>171599</v>
      </c>
      <c r="Y332" s="10">
        <v>642274</v>
      </c>
      <c r="Z332" s="10">
        <v>25401</v>
      </c>
      <c r="AA332" s="10">
        <v>443985</v>
      </c>
      <c r="AB332" s="10"/>
    </row>
    <row r="333" ht="21" spans="1:28">
      <c r="A333" s="10">
        <v>2023</v>
      </c>
      <c r="B333" s="10">
        <v>330000</v>
      </c>
      <c r="C333" s="24" t="s">
        <v>68</v>
      </c>
      <c r="D333" s="10">
        <v>32424</v>
      </c>
      <c r="E333" s="10">
        <v>6952.9</v>
      </c>
      <c r="F333" s="10">
        <v>73.2</v>
      </c>
      <c r="G333" s="10">
        <v>120.1</v>
      </c>
      <c r="H333" s="10">
        <v>2192.59</v>
      </c>
      <c r="I333" s="10">
        <v>27.0043</v>
      </c>
      <c r="J333" s="10">
        <v>9372.63</v>
      </c>
      <c r="K333" s="10">
        <v>1161.21</v>
      </c>
      <c r="L333" s="10">
        <v>43.7776</v>
      </c>
      <c r="M333" s="10">
        <v>15.0334</v>
      </c>
      <c r="N333" s="10">
        <v>23463.9</v>
      </c>
      <c r="O333" s="10">
        <v>35.8548</v>
      </c>
      <c r="P333" s="10">
        <v>8016</v>
      </c>
      <c r="Q333" s="10">
        <v>9403.2</v>
      </c>
      <c r="R333" s="10"/>
      <c r="S333" s="25">
        <v>468.12</v>
      </c>
      <c r="T333" s="10">
        <v>164.4807</v>
      </c>
      <c r="U333" s="26">
        <v>34.7338</v>
      </c>
      <c r="V333" s="26">
        <v>1064.77</v>
      </c>
      <c r="W333" s="27">
        <f t="shared" si="5"/>
        <v>3.26209416118035</v>
      </c>
      <c r="X333" s="27">
        <v>174951</v>
      </c>
      <c r="Y333" s="10">
        <v>808482</v>
      </c>
      <c r="Z333" s="10">
        <v>27663</v>
      </c>
      <c r="AA333" s="10">
        <v>381835</v>
      </c>
      <c r="AB333" s="10"/>
    </row>
    <row r="334" ht="21" spans="1:28">
      <c r="A334" s="10">
        <v>2013</v>
      </c>
      <c r="B334" s="10">
        <v>500000</v>
      </c>
      <c r="C334" s="24" t="s">
        <v>69</v>
      </c>
      <c r="D334" s="10">
        <v>6397</v>
      </c>
      <c r="E334" s="10">
        <v>778.8</v>
      </c>
      <c r="F334" s="10">
        <v>5.4454</v>
      </c>
      <c r="G334" s="10">
        <v>14.0436</v>
      </c>
      <c r="H334" s="10">
        <v>526.848</v>
      </c>
      <c r="I334" s="10">
        <v>3.1347</v>
      </c>
      <c r="J334" s="10">
        <v>546.941</v>
      </c>
      <c r="K334" s="10">
        <v>318.467</v>
      </c>
      <c r="L334" s="10">
        <v>47.3816</v>
      </c>
      <c r="M334" s="10">
        <v>3.48034</v>
      </c>
      <c r="N334" s="10">
        <v>999.761</v>
      </c>
      <c r="O334" s="10">
        <v>16.7228</v>
      </c>
      <c r="P334" s="10"/>
      <c r="Q334" s="10">
        <v>2380.8</v>
      </c>
      <c r="R334" s="10">
        <v>360.2</v>
      </c>
      <c r="S334" s="25">
        <v>159.86</v>
      </c>
      <c r="T334" s="10">
        <v>2.160849</v>
      </c>
      <c r="U334" s="26">
        <v>4.892</v>
      </c>
      <c r="V334" s="26">
        <v>402.021</v>
      </c>
      <c r="W334" s="27">
        <f t="shared" si="5"/>
        <v>1.21685185599757</v>
      </c>
      <c r="X334" s="27">
        <v>82490</v>
      </c>
      <c r="Y334" s="10">
        <v>52612.2</v>
      </c>
      <c r="Z334" s="10">
        <v>546</v>
      </c>
      <c r="AA334" s="10">
        <v>24828</v>
      </c>
      <c r="AB334" s="10"/>
    </row>
    <row r="335" ht="21" spans="1:28">
      <c r="A335" s="10">
        <v>2014</v>
      </c>
      <c r="B335" s="10">
        <v>500000</v>
      </c>
      <c r="C335" s="24" t="s">
        <v>69</v>
      </c>
      <c r="D335" s="10">
        <v>7133.66</v>
      </c>
      <c r="E335" s="10">
        <v>963.38</v>
      </c>
      <c r="F335" s="10">
        <v>7.4</v>
      </c>
      <c r="G335" s="10">
        <v>22.7627</v>
      </c>
      <c r="H335" s="10">
        <v>564.38</v>
      </c>
      <c r="I335" s="10">
        <v>3.361</v>
      </c>
      <c r="J335" s="10">
        <v>706.236</v>
      </c>
      <c r="K335" s="10">
        <v>370.88</v>
      </c>
      <c r="L335" s="10">
        <v>49.1177</v>
      </c>
      <c r="M335" s="10">
        <v>5.80499</v>
      </c>
      <c r="N335" s="10">
        <v>2302.12</v>
      </c>
      <c r="O335" s="10">
        <v>18.3232</v>
      </c>
      <c r="P335" s="10">
        <v>2014.06</v>
      </c>
      <c r="Q335" s="10">
        <v>2589.89</v>
      </c>
      <c r="R335" s="10">
        <v>390.113</v>
      </c>
      <c r="S335" s="25">
        <v>184.71</v>
      </c>
      <c r="T335" s="10">
        <v>3.387986</v>
      </c>
      <c r="U335" s="26">
        <v>4.65</v>
      </c>
      <c r="V335" s="26">
        <v>414.473</v>
      </c>
      <c r="W335" s="27">
        <f t="shared" si="5"/>
        <v>1.12190661394108</v>
      </c>
      <c r="X335" s="27">
        <v>92380</v>
      </c>
      <c r="Y335" s="10">
        <v>58354</v>
      </c>
      <c r="Z335" s="10">
        <v>753</v>
      </c>
      <c r="AA335" s="10">
        <v>24312</v>
      </c>
      <c r="AB335" s="10"/>
    </row>
    <row r="336" ht="21" spans="1:28">
      <c r="A336" s="10">
        <v>2015</v>
      </c>
      <c r="B336" s="10">
        <v>500000</v>
      </c>
      <c r="C336" s="24" t="s">
        <v>69</v>
      </c>
      <c r="D336" s="10">
        <v>7606</v>
      </c>
      <c r="E336" s="10">
        <v>1349.36</v>
      </c>
      <c r="F336" s="10">
        <v>9.5077</v>
      </c>
      <c r="G336" s="10">
        <v>33.5</v>
      </c>
      <c r="H336" s="10"/>
      <c r="I336" s="10">
        <v>4.4</v>
      </c>
      <c r="J336" s="10">
        <v>853.347</v>
      </c>
      <c r="K336" s="10">
        <v>493.55</v>
      </c>
      <c r="L336" s="10">
        <v>47</v>
      </c>
      <c r="M336" s="10">
        <v>8.5</v>
      </c>
      <c r="N336" s="10">
        <v>2648.45</v>
      </c>
      <c r="O336" s="10">
        <v>18.6703</v>
      </c>
      <c r="P336" s="10">
        <v>2288.23</v>
      </c>
      <c r="Q336" s="10">
        <v>2737.71</v>
      </c>
      <c r="R336" s="10">
        <v>386.482</v>
      </c>
      <c r="S336" s="25">
        <v>221.84</v>
      </c>
      <c r="T336" s="10">
        <v>5.876143</v>
      </c>
      <c r="U336" s="26">
        <v>4.6672</v>
      </c>
      <c r="V336" s="26">
        <v>415.609</v>
      </c>
      <c r="W336" s="27">
        <f t="shared" si="5"/>
        <v>1.12297856879904</v>
      </c>
      <c r="X336" s="27">
        <v>99729</v>
      </c>
      <c r="Y336" s="10">
        <v>61520.2</v>
      </c>
      <c r="Z336" s="10">
        <v>896</v>
      </c>
      <c r="AA336" s="10">
        <v>38914</v>
      </c>
      <c r="AB336" s="10"/>
    </row>
    <row r="337" ht="21" spans="1:28">
      <c r="A337" s="10">
        <v>2016</v>
      </c>
      <c r="B337" s="10">
        <v>500000</v>
      </c>
      <c r="C337" s="24" t="s">
        <v>69</v>
      </c>
      <c r="D337" s="10">
        <v>8309</v>
      </c>
      <c r="E337" s="10">
        <v>1643.64</v>
      </c>
      <c r="F337" s="10">
        <v>11.9436</v>
      </c>
      <c r="G337" s="10">
        <v>52.8323</v>
      </c>
      <c r="H337" s="10"/>
      <c r="I337" s="10">
        <v>5.1424</v>
      </c>
      <c r="J337" s="10">
        <v>1024.96</v>
      </c>
      <c r="K337" s="10">
        <v>349.01</v>
      </c>
      <c r="L337" s="10">
        <v>48.8</v>
      </c>
      <c r="M337" s="10">
        <v>11.6</v>
      </c>
      <c r="N337" s="10">
        <v>3210.17</v>
      </c>
      <c r="O337" s="10">
        <v>19.501</v>
      </c>
      <c r="P337" s="10">
        <v>2556.02</v>
      </c>
      <c r="Q337" s="10">
        <v>2880.1</v>
      </c>
      <c r="R337" s="10">
        <v>357.25</v>
      </c>
      <c r="S337" s="25">
        <v>233.89</v>
      </c>
      <c r="T337" s="10">
        <v>7.550404</v>
      </c>
      <c r="U337" s="26">
        <v>4.5809</v>
      </c>
      <c r="V337" s="26">
        <v>412.882</v>
      </c>
      <c r="W337" s="27">
        <f t="shared" si="5"/>
        <v>1.10949375366327</v>
      </c>
      <c r="X337" s="27">
        <v>109317</v>
      </c>
      <c r="Y337" s="10">
        <v>68054.6</v>
      </c>
      <c r="Z337" s="10">
        <v>1077</v>
      </c>
      <c r="AA337" s="10">
        <v>42738</v>
      </c>
      <c r="AB337" s="10"/>
    </row>
    <row r="338" ht="21" spans="1:28">
      <c r="A338" s="10">
        <v>2017</v>
      </c>
      <c r="B338" s="10">
        <v>500000</v>
      </c>
      <c r="C338" s="24" t="s">
        <v>69</v>
      </c>
      <c r="D338" s="10">
        <v>8173</v>
      </c>
      <c r="E338" s="10">
        <v>1935.17</v>
      </c>
      <c r="F338" s="10">
        <v>14.853</v>
      </c>
      <c r="G338" s="10">
        <v>43.7663</v>
      </c>
      <c r="H338" s="10">
        <v>569.024</v>
      </c>
      <c r="I338" s="10">
        <v>5.4588</v>
      </c>
      <c r="J338" s="10">
        <v>1212.9</v>
      </c>
      <c r="K338" s="10">
        <v>611.483</v>
      </c>
      <c r="L338" s="10">
        <v>49</v>
      </c>
      <c r="M338" s="10">
        <v>10.7</v>
      </c>
      <c r="N338" s="10">
        <v>3572.16</v>
      </c>
      <c r="O338" s="10">
        <v>21.0935</v>
      </c>
      <c r="P338" s="10">
        <v>2831.58</v>
      </c>
      <c r="Q338" s="10">
        <v>3274.89</v>
      </c>
      <c r="R338" s="10">
        <v>316.39</v>
      </c>
      <c r="S338" s="25">
        <v>276.31</v>
      </c>
      <c r="T338" s="10">
        <v>12.05733</v>
      </c>
      <c r="U338" s="26">
        <v>4.7844</v>
      </c>
      <c r="V338" s="26">
        <v>406.387</v>
      </c>
      <c r="W338" s="27">
        <f t="shared" si="5"/>
        <v>1.17730143926848</v>
      </c>
      <c r="X338" s="27">
        <v>104704</v>
      </c>
      <c r="Y338" s="10">
        <v>79149</v>
      </c>
      <c r="Z338" s="10">
        <v>1264</v>
      </c>
      <c r="AA338" s="10">
        <v>34780</v>
      </c>
      <c r="AB338" s="10"/>
    </row>
    <row r="339" ht="21" spans="1:28">
      <c r="A339" s="10">
        <v>2018</v>
      </c>
      <c r="B339" s="10">
        <v>500000</v>
      </c>
      <c r="C339" s="24" t="s">
        <v>69</v>
      </c>
      <c r="D339" s="10">
        <v>6173.85</v>
      </c>
      <c r="E339" s="10">
        <v>2245.72</v>
      </c>
      <c r="F339" s="10">
        <v>16.1598</v>
      </c>
      <c r="G339" s="10">
        <v>46.652</v>
      </c>
      <c r="H339" s="10">
        <v>569.393</v>
      </c>
      <c r="I339" s="10">
        <v>5.582</v>
      </c>
      <c r="J339" s="10">
        <v>1392.95</v>
      </c>
      <c r="K339" s="10">
        <v>1543.52</v>
      </c>
      <c r="L339" s="10">
        <v>49</v>
      </c>
      <c r="M339" s="10">
        <v>11.5734</v>
      </c>
      <c r="N339" s="10">
        <v>4186.84</v>
      </c>
      <c r="O339" s="10">
        <v>23.5118</v>
      </c>
      <c r="P339" s="10">
        <v>2862.24</v>
      </c>
      <c r="Q339" s="10">
        <v>3650.73</v>
      </c>
      <c r="R339" s="10">
        <v>557</v>
      </c>
      <c r="S339" s="25">
        <v>301.53</v>
      </c>
      <c r="T339" s="10">
        <v>12.63591</v>
      </c>
      <c r="U339" s="26">
        <v>4.8845</v>
      </c>
      <c r="V339" s="26">
        <v>391.203</v>
      </c>
      <c r="W339" s="27">
        <f t="shared" si="5"/>
        <v>1.24858449449519</v>
      </c>
      <c r="X339" s="27">
        <v>105300</v>
      </c>
      <c r="Y339" s="10">
        <v>91972.8</v>
      </c>
      <c r="Z339" s="10">
        <v>1113</v>
      </c>
      <c r="AA339" s="10">
        <v>45688</v>
      </c>
      <c r="AB339" s="10"/>
    </row>
    <row r="340" ht="21" spans="1:28">
      <c r="A340" s="10">
        <v>2019</v>
      </c>
      <c r="B340" s="10">
        <v>500000</v>
      </c>
      <c r="C340" s="24" t="s">
        <v>69</v>
      </c>
      <c r="D340" s="10">
        <v>6078.17</v>
      </c>
      <c r="E340" s="10">
        <v>2318.19</v>
      </c>
      <c r="F340" s="10">
        <v>21.7999</v>
      </c>
      <c r="G340" s="10">
        <v>81.1992</v>
      </c>
      <c r="H340" s="10">
        <v>569.676</v>
      </c>
      <c r="I340" s="10">
        <v>6.38275</v>
      </c>
      <c r="J340" s="10">
        <v>1714.57</v>
      </c>
      <c r="K340" s="10">
        <v>2603</v>
      </c>
      <c r="L340" s="10">
        <v>46.5</v>
      </c>
      <c r="M340" s="10">
        <v>12.4</v>
      </c>
      <c r="N340" s="10">
        <v>4762.88</v>
      </c>
      <c r="O340" s="10">
        <v>25.3085</v>
      </c>
      <c r="P340" s="10">
        <v>3016.09</v>
      </c>
      <c r="Q340" s="10">
        <v>3678.8</v>
      </c>
      <c r="R340" s="10">
        <v>552.12</v>
      </c>
      <c r="S340" s="25">
        <v>325.47</v>
      </c>
      <c r="T340" s="10">
        <v>18.73855</v>
      </c>
      <c r="U340" s="26">
        <v>4.736</v>
      </c>
      <c r="V340" s="26">
        <v>374.419</v>
      </c>
      <c r="W340" s="27">
        <f t="shared" si="5"/>
        <v>1.26489307433651</v>
      </c>
      <c r="X340" s="27">
        <v>108837</v>
      </c>
      <c r="Y340" s="10">
        <v>97601.7</v>
      </c>
      <c r="Z340" s="10">
        <v>1131</v>
      </c>
      <c r="AA340" s="10">
        <v>43872</v>
      </c>
      <c r="AB340" s="10"/>
    </row>
    <row r="341" ht="21" spans="1:28">
      <c r="A341" s="10">
        <v>2020</v>
      </c>
      <c r="B341" s="10">
        <v>500000</v>
      </c>
      <c r="C341" s="24" t="s">
        <v>69</v>
      </c>
      <c r="D341" s="10">
        <v>6067</v>
      </c>
      <c r="E341" s="10">
        <v>2368.8</v>
      </c>
      <c r="F341" s="10">
        <v>24.2</v>
      </c>
      <c r="G341" s="10">
        <v>86.6</v>
      </c>
      <c r="H341" s="10">
        <v>572.3</v>
      </c>
      <c r="I341" s="10">
        <v>7.1835</v>
      </c>
      <c r="J341" s="10">
        <v>2011.06</v>
      </c>
      <c r="K341" s="10">
        <v>3190.23</v>
      </c>
      <c r="L341" s="10">
        <v>47</v>
      </c>
      <c r="M341" s="10">
        <v>13.7</v>
      </c>
      <c r="N341" s="10">
        <v>5810.3</v>
      </c>
      <c r="O341" s="10">
        <v>27</v>
      </c>
      <c r="P341" s="10">
        <v>3117.2</v>
      </c>
      <c r="Q341" s="10">
        <v>3640.1</v>
      </c>
      <c r="R341" s="10">
        <v>548.34</v>
      </c>
      <c r="S341" s="25">
        <v>344.76</v>
      </c>
      <c r="T341" s="10">
        <v>32.17554</v>
      </c>
      <c r="U341" s="26">
        <v>5.8717</v>
      </c>
      <c r="V341" s="26">
        <v>370.834</v>
      </c>
      <c r="W341" s="27">
        <f t="shared" si="5"/>
        <v>1.58337692876058</v>
      </c>
      <c r="X341" s="27">
        <v>112852</v>
      </c>
      <c r="Y341" s="10">
        <v>105712</v>
      </c>
      <c r="Z341" s="10">
        <v>2083</v>
      </c>
      <c r="AA341" s="10">
        <v>55377</v>
      </c>
      <c r="AB341" s="10"/>
    </row>
    <row r="342" ht="21" spans="1:28">
      <c r="A342" s="10">
        <v>2021</v>
      </c>
      <c r="B342" s="10">
        <v>500000</v>
      </c>
      <c r="C342" s="24" t="s">
        <v>69</v>
      </c>
      <c r="D342" s="10">
        <v>5996.7</v>
      </c>
      <c r="E342" s="10">
        <v>2612.14</v>
      </c>
      <c r="F342" s="10">
        <v>25.4958</v>
      </c>
      <c r="G342" s="10">
        <v>54.5001</v>
      </c>
      <c r="H342" s="10">
        <v>567.936</v>
      </c>
      <c r="I342" s="10">
        <v>8.2064</v>
      </c>
      <c r="J342" s="10">
        <v>2481.42</v>
      </c>
      <c r="K342" s="10">
        <v>374.15</v>
      </c>
      <c r="L342" s="10">
        <v>47</v>
      </c>
      <c r="M342" s="10">
        <v>13.6</v>
      </c>
      <c r="N342" s="10">
        <v>6723.44</v>
      </c>
      <c r="O342" s="10">
        <v>28.3738</v>
      </c>
      <c r="P342" s="10">
        <v>3288.5</v>
      </c>
      <c r="Q342" s="10">
        <v>3751.11</v>
      </c>
      <c r="R342" s="10">
        <v>545.83</v>
      </c>
      <c r="S342" s="25">
        <v>364.94</v>
      </c>
      <c r="T342" s="10">
        <v>29.30186</v>
      </c>
      <c r="U342" s="26">
        <v>5.6717</v>
      </c>
      <c r="V342" s="26">
        <v>358.144</v>
      </c>
      <c r="W342" s="27">
        <f t="shared" si="5"/>
        <v>1.5836367494639</v>
      </c>
      <c r="X342" s="27">
        <v>112774</v>
      </c>
      <c r="Y342" s="10">
        <v>123446</v>
      </c>
      <c r="Z342" s="10">
        <v>1928</v>
      </c>
      <c r="AA342" s="10">
        <v>76206</v>
      </c>
      <c r="AB342" s="10"/>
    </row>
    <row r="343" ht="21" spans="1:28">
      <c r="A343" s="1">
        <v>2022</v>
      </c>
      <c r="B343" s="1">
        <v>500000</v>
      </c>
      <c r="C343" s="1" t="s">
        <v>69</v>
      </c>
      <c r="D343" s="1">
        <v>7666.43</v>
      </c>
      <c r="E343" s="1">
        <v>2668.86</v>
      </c>
      <c r="F343" s="1">
        <v>27.4386</v>
      </c>
      <c r="G343" s="1">
        <v>37.9557</v>
      </c>
      <c r="H343" s="1">
        <v>576.622</v>
      </c>
      <c r="I343" s="1">
        <v>7.6627</v>
      </c>
      <c r="J343" s="1">
        <v>2707.48</v>
      </c>
      <c r="K343" s="1">
        <v>382.162</v>
      </c>
      <c r="L343" s="1">
        <v>43.7</v>
      </c>
      <c r="M343" s="1">
        <v>12.3273</v>
      </c>
      <c r="N343" s="1">
        <v>14206.3</v>
      </c>
      <c r="O343" s="1">
        <v>29.9733</v>
      </c>
      <c r="P343" s="1">
        <v>3448.03</v>
      </c>
      <c r="Q343" s="1">
        <v>3962.16</v>
      </c>
      <c r="R343" s="1">
        <v>549.179</v>
      </c>
      <c r="S343" s="25">
        <v>385.67</v>
      </c>
      <c r="T343" s="1">
        <v>34.4346</v>
      </c>
      <c r="U343" s="26">
        <v>6.124</v>
      </c>
      <c r="V343" s="26">
        <v>345.217</v>
      </c>
      <c r="W343" s="27">
        <f t="shared" si="5"/>
        <v>1.77395667073174</v>
      </c>
      <c r="X343" s="1">
        <v>123394</v>
      </c>
      <c r="Y343" s="1">
        <v>128878</v>
      </c>
      <c r="Z343" s="1">
        <v>2469</v>
      </c>
      <c r="AA343" s="1">
        <v>66467</v>
      </c>
    </row>
    <row r="344" ht="21" spans="1:28">
      <c r="A344" s="1">
        <v>2023</v>
      </c>
      <c r="B344" s="1">
        <v>500000</v>
      </c>
      <c r="C344" s="1" t="s">
        <v>69</v>
      </c>
      <c r="D344" s="1">
        <v>8193</v>
      </c>
      <c r="E344" s="1">
        <v>2744.5</v>
      </c>
      <c r="F344" s="1">
        <v>29.5</v>
      </c>
      <c r="G344" s="1">
        <v>38.9</v>
      </c>
      <c r="H344" s="1">
        <v>569.593</v>
      </c>
      <c r="I344" s="1">
        <v>8.2368</v>
      </c>
      <c r="J344" s="1">
        <v>3161.83</v>
      </c>
      <c r="K344" s="1">
        <v>397.13</v>
      </c>
      <c r="L344" s="1">
        <v>42.2436</v>
      </c>
      <c r="M344" s="1">
        <v>17.2445</v>
      </c>
      <c r="N344" s="1">
        <v>9406.9</v>
      </c>
      <c r="O344" s="1">
        <v>32.4398</v>
      </c>
      <c r="P344" s="1">
        <v>3686.1</v>
      </c>
      <c r="Q344" s="1">
        <v>4385.6</v>
      </c>
      <c r="S344" s="25">
        <v>407.34</v>
      </c>
      <c r="T344" s="1">
        <v>39.31258</v>
      </c>
      <c r="U344" s="26">
        <v>6.3444</v>
      </c>
      <c r="V344" s="26">
        <v>337.352</v>
      </c>
      <c r="W344" s="27">
        <f t="shared" si="5"/>
        <v>1.88064692072375</v>
      </c>
      <c r="X344" s="1">
        <v>135363</v>
      </c>
      <c r="Y344" s="1">
        <v>142118</v>
      </c>
      <c r="Z344" s="1">
        <v>2033</v>
      </c>
      <c r="AA344" s="1">
        <v>54136</v>
      </c>
    </row>
  </sheetData>
  <autoFilter xmlns:etc="http://www.wps.cn/officeDocument/2017/etCustomData" ref="A3:AB344" etc:filterBottomFollowUsedRange="0">
    <extLst/>
  </autoFilter>
  <mergeCells count="10">
    <mergeCell ref="D1:I1"/>
    <mergeCell ref="J1:O1"/>
    <mergeCell ref="P1:AA1"/>
    <mergeCell ref="D2:F2"/>
    <mergeCell ref="G2:I2"/>
    <mergeCell ref="J2:K2"/>
    <mergeCell ref="L2:N2"/>
    <mergeCell ref="O2:T2"/>
    <mergeCell ref="U2:X2"/>
    <mergeCell ref="Y2:A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original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Airui Meng</dc:creator>
  <cp:lastModifiedBy>Airui Meng</cp:lastModifiedBy>
  <dcterms:created xsi:type="dcterms:W3CDTF">2026-05-07T12:31:38Z</dcterms:created>
  <dcterms:modified xsi:type="dcterms:W3CDTF">2026-05-07T12:31:38Z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C36956E9D7DBC7156ABEFC699F75ADF8_41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